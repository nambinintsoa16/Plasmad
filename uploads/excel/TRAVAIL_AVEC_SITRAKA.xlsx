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320" windowHeight="9780"/>
  </bookViews>
  <sheets>
    <sheet name="MATIER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/>
  <c r="D6"/>
  <c r="D7"/>
  <c r="D21"/>
  <c r="D38"/>
  <c r="D48"/>
  <c r="D49"/>
  <c r="D50"/>
  <c r="D52"/>
  <c r="D53"/>
  <c r="D54"/>
  <c r="D55"/>
  <c r="D60"/>
  <c r="D61"/>
  <c r="D63"/>
  <c r="D64"/>
  <c r="D65"/>
  <c r="D66"/>
  <c r="D69"/>
  <c r="D88"/>
  <c r="D90"/>
  <c r="D94"/>
  <c r="D95"/>
  <c r="D96"/>
  <c r="D97"/>
  <c r="D98"/>
  <c r="D100"/>
  <c r="D101"/>
  <c r="D126"/>
  <c r="D127"/>
  <c r="D128"/>
  <c r="D129"/>
  <c r="D130"/>
  <c r="D131"/>
  <c r="D132"/>
  <c r="D133"/>
  <c r="D142"/>
  <c r="D143"/>
  <c r="D144"/>
  <c r="D145"/>
  <c r="D146"/>
  <c r="D147"/>
  <c r="D148"/>
  <c r="D149"/>
  <c r="D151"/>
  <c r="D152"/>
  <c r="D154"/>
  <c r="D155"/>
  <c r="D156"/>
  <c r="D157"/>
  <c r="D158"/>
  <c r="D159"/>
  <c r="D160"/>
  <c r="D162"/>
  <c r="D163"/>
  <c r="D164"/>
  <c r="D169"/>
  <c r="D170"/>
  <c r="D171"/>
  <c r="D173"/>
  <c r="D174"/>
  <c r="D175"/>
  <c r="D177"/>
  <c r="D178"/>
  <c r="D179"/>
  <c r="D180"/>
  <c r="D181"/>
  <c r="D182"/>
  <c r="D186"/>
  <c r="D187"/>
  <c r="D188"/>
  <c r="D189"/>
</calcChain>
</file>

<file path=xl/sharedStrings.xml><?xml version="1.0" encoding="utf-8"?>
<sst xmlns="http://schemas.openxmlformats.org/spreadsheetml/2006/main" count="199" uniqueCount="189">
  <si>
    <t xml:space="preserve">DOUBLE SEDID TAPE </t>
  </si>
  <si>
    <t>TRANSPARENT_FILM</t>
  </si>
  <si>
    <t>TEFLON ROUGE</t>
  </si>
  <si>
    <t>TEFLON TAPE</t>
  </si>
  <si>
    <t>TEST PEN ORANGE (N°38)</t>
  </si>
  <si>
    <t>TESA TAPE</t>
  </si>
  <si>
    <t>TEFLON_NON_ADHESIF</t>
  </si>
  <si>
    <t>PACKING_TAPE_VERT</t>
  </si>
  <si>
    <t>PACKING_TAPE_ROUGE</t>
  </si>
  <si>
    <t>PACKING_TAPE_NOIR</t>
  </si>
  <si>
    <t>PACKING_TAPE_BLEU</t>
  </si>
  <si>
    <t>PACKING_TAPE_TRANSPARENT</t>
  </si>
  <si>
    <t>FLEXO GRAPHIQUE PHOTOPOLYMER PLATE</t>
  </si>
  <si>
    <t>FOIL_BLANC</t>
  </si>
  <si>
    <t>FOIL_SILVER</t>
  </si>
  <si>
    <t>FOIL_NOIR_</t>
  </si>
  <si>
    <t>ELASTIQUE</t>
  </si>
  <si>
    <t>PP_1304_E3</t>
  </si>
  <si>
    <t>GPPS SC203EL - 11190737</t>
  </si>
  <si>
    <t>LB_SOLUTION</t>
  </si>
  <si>
    <t>Coretubes 2,52M</t>
  </si>
  <si>
    <t>Coretubes 2.52 M</t>
  </si>
  <si>
    <t>Coretubes 2.50 M</t>
  </si>
  <si>
    <t>Coretubes 2.30 M</t>
  </si>
  <si>
    <t>corestubes 1,35 M</t>
  </si>
  <si>
    <t>Coretubes 1.32M</t>
  </si>
  <si>
    <t>Coretubes 1.70 M</t>
  </si>
  <si>
    <t>Coretubes 1.60 M</t>
  </si>
  <si>
    <t>Coretubes 1.20 M</t>
  </si>
  <si>
    <t>CORE TUBE 1.63M</t>
  </si>
  <si>
    <t>CORE TUBE 1.55M</t>
  </si>
  <si>
    <t>CORE TUBE 1.50M</t>
  </si>
  <si>
    <t>CORE TUBE 1.43M</t>
  </si>
  <si>
    <t>CORE 1.83MM</t>
  </si>
  <si>
    <t>CORE 1.72MM</t>
  </si>
  <si>
    <t>CORE 1.00MM</t>
  </si>
  <si>
    <t>CORE 0.95MM</t>
  </si>
  <si>
    <t>CORE 0.80MM</t>
  </si>
  <si>
    <t>CORE 0,600 M</t>
  </si>
  <si>
    <t>SILICONE_OIL</t>
  </si>
  <si>
    <t>SILICONE MOLD RELEASE ARGENT</t>
  </si>
  <si>
    <t>SILICONE_MOLD_RELEASE BLUE_</t>
  </si>
  <si>
    <t>SILICONE_FELICOAT</t>
  </si>
  <si>
    <t>BAND FILM_0.2__44.5_X_200</t>
  </si>
  <si>
    <t>BAND FILM_0.09_X_75_X_500</t>
  </si>
  <si>
    <t>BAND FILM_0.09_X_70_X_500</t>
  </si>
  <si>
    <t>BAND FILM 0,26*44,5*500M</t>
  </si>
  <si>
    <t>CARTONS 600*450</t>
  </si>
  <si>
    <t>CARTONS 600*455</t>
  </si>
  <si>
    <t>CARTONS 600*370</t>
  </si>
  <si>
    <t>CARTON 610*450</t>
  </si>
  <si>
    <t>HOOKSFH-0606/9,2MM*2,6MM (nouveau)</t>
  </si>
  <si>
    <t>CLIPS</t>
  </si>
  <si>
    <t>HOOKS  PT30</t>
  </si>
  <si>
    <t>HOOKS_KW_73 TRANSPARENT</t>
  </si>
  <si>
    <t>SEALING TAPE QC S154MLP-R LEFT GLUE  (PE)</t>
  </si>
  <si>
    <t>SEALING TAPE QC-S154 WL LEFT GLUE (PP)</t>
  </si>
  <si>
    <t>SEALING TAPE SPECIALE</t>
  </si>
  <si>
    <t>HUILE 425-GRADE ISO VG46</t>
  </si>
  <si>
    <t>HUILE S3R 46/CORENA</t>
  </si>
  <si>
    <t>HUILE_AZOLA_ZS_68</t>
  </si>
  <si>
    <t>HUILE_CARTER ISO VG 220</t>
  </si>
  <si>
    <t>SABUTOL_MIX_BUTANOL</t>
  </si>
  <si>
    <t>NPROPANOL</t>
  </si>
  <si>
    <t>ISOPROPYL MAURICE</t>
  </si>
  <si>
    <t>red masterbatchr-R-33</t>
  </si>
  <si>
    <t>BLACK masterbatch y-T850 PS INJECTION</t>
  </si>
  <si>
    <t>GREEN M B G2 (TR)</t>
  </si>
  <si>
    <t>brown masterbatch 1239</t>
  </si>
  <si>
    <t>red masterbatchr-4</t>
  </si>
  <si>
    <t>yellow masterbatch y-5</t>
  </si>
  <si>
    <t>yellow masterbatch y-6</t>
  </si>
  <si>
    <t>yellow masterbatch y-7</t>
  </si>
  <si>
    <t>SKY BLUE MASTERBATCH B 1070 (TR)</t>
  </si>
  <si>
    <t>blue masterbatch b1055</t>
  </si>
  <si>
    <t>blue masterbatch b1123</t>
  </si>
  <si>
    <t>Slip masterbatch OP-809</t>
  </si>
  <si>
    <t>BLACK masterbatch y-8099</t>
  </si>
  <si>
    <t>masterbacth calmast C005</t>
  </si>
  <si>
    <t>master vatch calmast CW1320</t>
  </si>
  <si>
    <t>master vatch calmast CW 1330</t>
  </si>
  <si>
    <t>master vatch calmast MB 171</t>
  </si>
  <si>
    <t>master vatch calmast MB 150</t>
  </si>
  <si>
    <t>master vatch calmast MB 130</t>
  </si>
  <si>
    <t>master vatch calmast  MB 130</t>
  </si>
  <si>
    <t xml:space="preserve">INK SYLVER </t>
  </si>
  <si>
    <t>OXYDE DE FER</t>
  </si>
  <si>
    <t>-</t>
  </si>
  <si>
    <t>BIO BASED PLASTIC RESIN ECOLO BFZ-006</t>
  </si>
  <si>
    <t>OPTICAL BRIGNTNER 112A</t>
  </si>
  <si>
    <t>0704A HIGH GLOSS MASTER  BATCH</t>
  </si>
  <si>
    <t>HIGH GLOOS0702A</t>
  </si>
  <si>
    <t>BLEU MBCODEZMBV</t>
  </si>
  <si>
    <t>YELLOW_YELLY_</t>
  </si>
  <si>
    <t>WHITE  MASTER  BATCH  207A</t>
  </si>
  <si>
    <t xml:space="preserve"> </t>
  </si>
  <si>
    <t>WHITE MASTERBACH DAP</t>
  </si>
  <si>
    <t>GREY DDA/Y</t>
  </si>
  <si>
    <t xml:space="preserve">RED TCODE LABEP MASTERB BATCH </t>
  </si>
  <si>
    <t>ORANGE</t>
  </si>
  <si>
    <t>NEW_SUPER_WHITE</t>
  </si>
  <si>
    <t>GREY</t>
  </si>
  <si>
    <t>VERT_PALE_</t>
  </si>
  <si>
    <t xml:space="preserve">MABY </t>
  </si>
  <si>
    <t>INK ROSE RED A 5366</t>
  </si>
  <si>
    <t>INK DARK RED A 5364</t>
  </si>
  <si>
    <t>INK RED A 5363</t>
  </si>
  <si>
    <t>INK YELLOW A 5323</t>
  </si>
  <si>
    <t>INK ORANGE  A 5325</t>
  </si>
  <si>
    <t>INK BLUE A 5343</t>
  </si>
  <si>
    <t>INK ROYAL BLUE A5346</t>
  </si>
  <si>
    <t>INK CYAN BLUE A 5351</t>
  </si>
  <si>
    <t>INK GOLDEN</t>
  </si>
  <si>
    <t>INK GREEN A 5333</t>
  </si>
  <si>
    <t>INK GREEN A 5331</t>
  </si>
  <si>
    <t>INK GREEN A 5332</t>
  </si>
  <si>
    <t>INK white A 5311</t>
  </si>
  <si>
    <t>POLYFLEX INK RED 100</t>
  </si>
  <si>
    <t>POLYFLEX INK RED 110</t>
  </si>
  <si>
    <t>ENCRE BLANC 610C (20KG)</t>
  </si>
  <si>
    <t>INK DARK GREY (noir)</t>
  </si>
  <si>
    <t>POLYKOTE CREAM 545D (18kgs)</t>
  </si>
  <si>
    <t>POLYFLEX OVER PRINT VANISH</t>
  </si>
  <si>
    <t>POLYFLEX INK 360</t>
  </si>
  <si>
    <t>FLEXO INK SILVER</t>
  </si>
  <si>
    <t>RED_108</t>
  </si>
  <si>
    <t>ENCRE FLEXO INK PURPLE (20kgs)</t>
  </si>
  <si>
    <t>POLYFLEX INK BLACK 920/092 (20kgs)</t>
  </si>
  <si>
    <t>POLYFLEX BROWN SOMEWHERE LAB 18,8,1 (4 kgs)</t>
  </si>
  <si>
    <t>POLYFLEX INK GOLD MEDIUM 638</t>
  </si>
  <si>
    <t>POLYFLEX GREEN LAB 4.3.1 (4kgs)</t>
  </si>
  <si>
    <t>ENCRE VERT 790 (20KG)</t>
  </si>
  <si>
    <t>ENCRE BLUE  390 (20KG)</t>
  </si>
  <si>
    <t>ENCRE GREEN 730</t>
  </si>
  <si>
    <t>ENCRE YELLOW 240 (20kgs)</t>
  </si>
  <si>
    <t>POLYFLEX GYAN BLUE 379</t>
  </si>
  <si>
    <t>FTB 7042 CREAM 15KG</t>
  </si>
  <si>
    <t>COMPOSTABLE RESINS BO BF02</t>
  </si>
  <si>
    <t>BIODEGRADABLE RESIN BAT+PLA</t>
  </si>
  <si>
    <t>BIODEGRADABLE RESIN SH-133BAT+PLA</t>
  </si>
  <si>
    <t>CALFIN AD WHITE 15.15 UL</t>
  </si>
  <si>
    <t>CALFIN_AD_RED</t>
  </si>
  <si>
    <t>TAIRIRAX HIPS HP8250</t>
  </si>
  <si>
    <t>TAIRIRAX GPPS GP 525N</t>
  </si>
  <si>
    <t>TAIRILAX ABS AG15A1-H</t>
  </si>
  <si>
    <t>Granules HIPS 500</t>
  </si>
  <si>
    <t>GPS</t>
  </si>
  <si>
    <t>LLD Q  2018-H</t>
  </si>
  <si>
    <t>LLD 7420 D</t>
  </si>
  <si>
    <t>LLDPE 1001 AV</t>
  </si>
  <si>
    <t>LLDPE 1001 BU</t>
  </si>
  <si>
    <t>LLDPE Q1018N</t>
  </si>
  <si>
    <t>LLDPE Q1018H</t>
  </si>
  <si>
    <t xml:space="preserve">LLD 1018-MB </t>
  </si>
  <si>
    <t>LLD 2703 MC -</t>
  </si>
  <si>
    <t>Granules HDPE_QTR 144</t>
  </si>
  <si>
    <t>Granules HDPE_HF_0961</t>
  </si>
  <si>
    <t>LLD BORSATAR_FB 2310</t>
  </si>
  <si>
    <t>PP 4128N</t>
  </si>
  <si>
    <t>PP1304E3</t>
  </si>
  <si>
    <t>PP TITANO PD943</t>
  </si>
  <si>
    <t>PP 1126NK</t>
  </si>
  <si>
    <t>PP_SASOL_</t>
  </si>
  <si>
    <t>Granules PP_J_170_H</t>
  </si>
  <si>
    <t>PE LD 1130-JRECYCLE</t>
  </si>
  <si>
    <t>PE LDFE 8000</t>
  </si>
  <si>
    <t>PE LD 250YZ</t>
  </si>
  <si>
    <t>PE LD2426K</t>
  </si>
  <si>
    <t>PE LD 2426-H</t>
  </si>
  <si>
    <t>PE LD2420F</t>
  </si>
  <si>
    <t>PE LD 0725N</t>
  </si>
  <si>
    <t xml:space="preserve">LDPE film LD 1925AS Mi1.9 </t>
  </si>
  <si>
    <t>PE LD 4025AS</t>
  </si>
  <si>
    <t>PE LD 201FG</t>
  </si>
  <si>
    <t>PE LD 200GG</t>
  </si>
  <si>
    <t>PE LD 0274</t>
  </si>
  <si>
    <t>PE LD 0474</t>
  </si>
  <si>
    <t>Granules LP_1040_T</t>
  </si>
  <si>
    <t>Granules PE UV 29</t>
  </si>
  <si>
    <t>Granules PE_Polytechs_PW_60</t>
  </si>
  <si>
    <t>LDPE 150BW</t>
  </si>
  <si>
    <t>LDPE 100AC</t>
  </si>
  <si>
    <t>LDPE 160AT</t>
  </si>
  <si>
    <t>ST_DESIGNATION</t>
  </si>
  <si>
    <t>ST_QUANTITE</t>
  </si>
  <si>
    <t>ST_PRIX_UNITAIRE</t>
  </si>
  <si>
    <t>ST_REVIENT</t>
  </si>
  <si>
    <t>ST_TYPE</t>
  </si>
  <si>
    <t>ST_INITIAL</t>
  </si>
</sst>
</file>

<file path=xl/styles.xml><?xml version="1.0" encoding="utf-8"?>
<styleSheet xmlns="http://schemas.openxmlformats.org/spreadsheetml/2006/main">
  <numFmts count="4">
    <numFmt numFmtId="43" formatCode="_-* #,##0.00\ _€_-;\-* #,##0.00\ _€_-;_-* &quot;-&quot;??\ _€_-;_-@_-"/>
    <numFmt numFmtId="164" formatCode="_-* #,##0.0000\ _€_-;\-* #,##0.0000\ _€_-;_-* &quot;-&quot;????\ _€_-;_-@_-"/>
    <numFmt numFmtId="165" formatCode="#,##0.0000_ ;\-#,##0.0000\ "/>
    <numFmt numFmtId="166" formatCode="_-* #,##0.000\ _€_-;\-* #,##0.000\ _€_-;_-* &quot;-&quot;???\ _€_-;_-@_-"/>
  </numFmts>
  <fonts count="10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1" applyFont="1" applyFill="1" applyBorder="1"/>
    <xf numFmtId="0" fontId="1" fillId="0" borderId="0" xfId="0" applyFont="1" applyFill="1" applyBorder="1"/>
    <xf numFmtId="0" fontId="9" fillId="0" borderId="0" xfId="1" applyFont="1" applyFill="1" applyBorder="1"/>
    <xf numFmtId="49" fontId="1" fillId="0" borderId="0" xfId="0" applyNumberFormat="1" applyFont="1" applyFill="1" applyAlignment="1"/>
    <xf numFmtId="43" fontId="3" fillId="0" borderId="0" xfId="0" applyNumberFormat="1" applyFont="1" applyFill="1" applyAlignment="1"/>
    <xf numFmtId="164" fontId="3" fillId="0" borderId="0" xfId="0" applyNumberFormat="1" applyFont="1" applyFill="1" applyAlignment="1"/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/>
    <xf numFmtId="43" fontId="3" fillId="0" borderId="0" xfId="0" applyNumberFormat="1" applyFont="1" applyFill="1"/>
    <xf numFmtId="164" fontId="3" fillId="0" borderId="0" xfId="0" applyNumberFormat="1" applyFont="1" applyFill="1"/>
    <xf numFmtId="43" fontId="3" fillId="0" borderId="0" xfId="0" applyNumberFormat="1" applyFont="1" applyFill="1" applyBorder="1"/>
    <xf numFmtId="164" fontId="3" fillId="0" borderId="0" xfId="0" applyNumberFormat="1" applyFont="1" applyFill="1" applyBorder="1"/>
    <xf numFmtId="49" fontId="3" fillId="0" borderId="0" xfId="0" applyNumberFormat="1" applyFont="1" applyFill="1" applyBorder="1"/>
    <xf numFmtId="0" fontId="8" fillId="0" borderId="0" xfId="0" applyFont="1" applyFill="1" applyBorder="1"/>
    <xf numFmtId="0" fontId="7" fillId="0" borderId="0" xfId="1" applyFont="1" applyFill="1" applyBorder="1"/>
    <xf numFmtId="0" fontId="3" fillId="0" borderId="0" xfId="0" applyFont="1" applyFill="1" applyBorder="1"/>
    <xf numFmtId="43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3" fontId="3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1" fillId="0" borderId="0" xfId="1" applyFont="1" applyFill="1" applyBorder="1" applyAlignment="1">
      <alignment horizontal="left"/>
    </xf>
    <xf numFmtId="49" fontId="1" fillId="0" borderId="0" xfId="0" applyNumberFormat="1" applyFont="1" applyFill="1"/>
    <xf numFmtId="43" fontId="1" fillId="0" borderId="0" xfId="0" applyNumberFormat="1" applyFont="1" applyFill="1"/>
    <xf numFmtId="164" fontId="1" fillId="0" borderId="0" xfId="0" applyNumberFormat="1" applyFont="1" applyFill="1"/>
    <xf numFmtId="43" fontId="1" fillId="0" borderId="0" xfId="0" applyNumberFormat="1" applyFont="1" applyFill="1" applyBorder="1"/>
    <xf numFmtId="164" fontId="1" fillId="0" borderId="0" xfId="0" applyNumberFormat="1" applyFont="1" applyFill="1" applyBorder="1"/>
    <xf numFmtId="165" fontId="3" fillId="0" borderId="0" xfId="0" applyNumberFormat="1" applyFont="1" applyFill="1"/>
    <xf numFmtId="43" fontId="5" fillId="0" borderId="0" xfId="0" applyNumberFormat="1" applyFont="1" applyFill="1" applyAlignment="1"/>
    <xf numFmtId="49" fontId="2" fillId="0" borderId="0" xfId="0" applyNumberFormat="1" applyFont="1" applyFill="1" applyBorder="1"/>
    <xf numFmtId="43" fontId="2" fillId="0" borderId="0" xfId="0" applyNumberFormat="1" applyFont="1" applyFill="1" applyBorder="1" applyAlignment="1">
      <alignment horizontal="right"/>
    </xf>
    <xf numFmtId="43" fontId="1" fillId="0" borderId="0" xfId="0" applyNumberFormat="1" applyFont="1" applyFill="1" applyAlignment="1"/>
    <xf numFmtId="0" fontId="2" fillId="0" borderId="0" xfId="0" applyFont="1" applyFill="1" applyBorder="1"/>
    <xf numFmtId="43" fontId="0" fillId="0" borderId="0" xfId="0" applyNumberFormat="1"/>
    <xf numFmtId="166" fontId="3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9"/>
  <sheetViews>
    <sheetView tabSelected="1" workbookViewId="0">
      <selection activeCell="C12" sqref="C12"/>
    </sheetView>
  </sheetViews>
  <sheetFormatPr baseColWidth="10" defaultRowHeight="15"/>
  <cols>
    <col min="1" max="1" width="56.5703125" customWidth="1"/>
    <col min="2" max="2" width="24" customWidth="1"/>
    <col min="3" max="3" width="21.140625" customWidth="1"/>
    <col min="4" max="4" width="17.42578125" customWidth="1"/>
    <col min="6" max="6" width="14.7109375" style="33" customWidth="1"/>
  </cols>
  <sheetData>
    <row r="1" spans="1:6">
      <c r="A1" s="3" t="s">
        <v>183</v>
      </c>
      <c r="B1" s="3" t="s">
        <v>184</v>
      </c>
      <c r="C1" s="3" t="s">
        <v>185</v>
      </c>
      <c r="D1" s="3" t="s">
        <v>186</v>
      </c>
      <c r="E1" t="s">
        <v>187</v>
      </c>
      <c r="F1" s="33" t="s">
        <v>188</v>
      </c>
    </row>
    <row r="2" spans="1:6" ht="15.75">
      <c r="A2" s="4" t="s">
        <v>182</v>
      </c>
      <c r="B2" s="5"/>
      <c r="C2" s="6">
        <v>1.3918999999999999</v>
      </c>
      <c r="D2" s="5">
        <v>4968.99</v>
      </c>
      <c r="F2" s="33">
        <v>0</v>
      </c>
    </row>
    <row r="3" spans="1:6" ht="15.75">
      <c r="A3" s="4" t="s">
        <v>181</v>
      </c>
      <c r="B3" s="5"/>
      <c r="C3" s="6">
        <v>1.3942000000000001</v>
      </c>
      <c r="D3" s="5">
        <v>4968.99</v>
      </c>
      <c r="F3" s="33">
        <v>1.5</v>
      </c>
    </row>
    <row r="4" spans="1:6" ht="15.75">
      <c r="A4" s="7" t="s">
        <v>180</v>
      </c>
      <c r="B4" s="5"/>
      <c r="C4" s="6">
        <v>1.5264</v>
      </c>
      <c r="D4" s="5">
        <v>5088</v>
      </c>
      <c r="F4" s="33">
        <v>14934.82</v>
      </c>
    </row>
    <row r="5" spans="1:6" ht="15.75">
      <c r="A5" s="7" t="s">
        <v>179</v>
      </c>
      <c r="B5" s="5"/>
      <c r="C5" s="6">
        <v>3.73</v>
      </c>
      <c r="D5" s="5">
        <f>+C5*3003.44</f>
        <v>11202.831200000001</v>
      </c>
      <c r="F5" s="33">
        <v>1000.69</v>
      </c>
    </row>
    <row r="6" spans="1:6" ht="15.75">
      <c r="A6" s="7" t="s">
        <v>178</v>
      </c>
      <c r="B6" s="5"/>
      <c r="C6" s="6">
        <v>4.9399999999999995</v>
      </c>
      <c r="D6" s="5">
        <f>+C6*3003.44</f>
        <v>14836.993599999998</v>
      </c>
      <c r="F6" s="33">
        <v>1006.39</v>
      </c>
    </row>
    <row r="7" spans="1:6" ht="15.75">
      <c r="A7" s="8" t="s">
        <v>177</v>
      </c>
      <c r="B7" s="5"/>
      <c r="C7" s="6">
        <v>2.99</v>
      </c>
      <c r="D7" s="5">
        <f>+C7*3003.44</f>
        <v>8980.2856000000011</v>
      </c>
      <c r="F7" s="33">
        <v>73</v>
      </c>
    </row>
    <row r="8" spans="1:6" ht="15.75">
      <c r="A8" s="8" t="s">
        <v>176</v>
      </c>
      <c r="B8" s="5"/>
      <c r="C8" s="6">
        <v>1.2443</v>
      </c>
      <c r="D8" s="5">
        <v>4614.5200000000004</v>
      </c>
      <c r="F8" s="33">
        <v>0.1</v>
      </c>
    </row>
    <row r="9" spans="1:6" ht="15.75">
      <c r="A9" s="2" t="s">
        <v>175</v>
      </c>
      <c r="B9" s="5"/>
      <c r="C9" s="6">
        <v>1.3526</v>
      </c>
      <c r="D9" s="5">
        <v>5029.5200000000004</v>
      </c>
      <c r="F9" s="33">
        <v>0</v>
      </c>
    </row>
    <row r="10" spans="1:6" ht="15.75">
      <c r="A10" s="1" t="s">
        <v>174</v>
      </c>
      <c r="B10" s="5"/>
      <c r="C10" s="6">
        <v>2.09</v>
      </c>
      <c r="D10" s="5">
        <v>8186.28</v>
      </c>
      <c r="F10" s="33">
        <v>4566</v>
      </c>
    </row>
    <row r="11" spans="1:6" ht="15.75">
      <c r="A11" s="1" t="s">
        <v>173</v>
      </c>
      <c r="B11" s="5"/>
      <c r="C11" s="6">
        <v>2.09</v>
      </c>
      <c r="D11" s="5">
        <v>8186.28</v>
      </c>
      <c r="F11" s="33">
        <v>0</v>
      </c>
    </row>
    <row r="12" spans="1:6" ht="15.75">
      <c r="A12" s="8" t="s">
        <v>172</v>
      </c>
      <c r="B12" s="5"/>
      <c r="C12" s="6">
        <v>2.0857999999999999</v>
      </c>
      <c r="D12" s="5">
        <v>8005.1</v>
      </c>
      <c r="F12" s="33">
        <v>0.64</v>
      </c>
    </row>
    <row r="13" spans="1:6" ht="15.75">
      <c r="A13" s="8" t="s">
        <v>171</v>
      </c>
      <c r="B13" s="5"/>
      <c r="C13" s="6">
        <v>2.2189999999999999</v>
      </c>
      <c r="D13" s="5">
        <v>8516.2800000000007</v>
      </c>
      <c r="F13" s="33">
        <v>24971</v>
      </c>
    </row>
    <row r="14" spans="1:6" ht="15.75">
      <c r="A14" s="8" t="s">
        <v>170</v>
      </c>
      <c r="B14" s="5"/>
      <c r="C14" s="6">
        <v>1.4702999999999999</v>
      </c>
      <c r="D14" s="5">
        <v>4439.16</v>
      </c>
      <c r="F14" s="33">
        <v>0</v>
      </c>
    </row>
    <row r="15" spans="1:6" ht="15.75">
      <c r="A15" s="2" t="s">
        <v>169</v>
      </c>
      <c r="B15" s="5"/>
      <c r="C15" s="6">
        <v>1.6960999999999999</v>
      </c>
      <c r="D15" s="5">
        <v>6585.76</v>
      </c>
      <c r="F15" s="33">
        <v>4658.5</v>
      </c>
    </row>
    <row r="16" spans="1:6" ht="15.75">
      <c r="A16" s="2" t="s">
        <v>168</v>
      </c>
      <c r="B16" s="5"/>
      <c r="C16" s="6">
        <v>2.1488999999999998</v>
      </c>
      <c r="D16" s="5">
        <v>8187.46</v>
      </c>
      <c r="F16" s="33">
        <v>0.5</v>
      </c>
    </row>
    <row r="17" spans="1:6" ht="15.75">
      <c r="A17" s="2" t="s">
        <v>167</v>
      </c>
      <c r="B17" s="5"/>
      <c r="C17" s="6">
        <v>2.1488999999999998</v>
      </c>
      <c r="D17" s="5">
        <v>8187.46</v>
      </c>
      <c r="F17" s="33">
        <v>0</v>
      </c>
    </row>
    <row r="18" spans="1:6" ht="15.75">
      <c r="A18" s="2" t="s">
        <v>166</v>
      </c>
      <c r="B18" s="5"/>
      <c r="C18" s="6">
        <v>1.4704999999999999</v>
      </c>
      <c r="D18" s="5">
        <v>5219.5600000000004</v>
      </c>
      <c r="F18" s="33">
        <v>4543</v>
      </c>
    </row>
    <row r="19" spans="1:6" ht="15.75">
      <c r="A19" s="2" t="s">
        <v>165</v>
      </c>
      <c r="B19" s="5"/>
      <c r="C19" s="6">
        <v>1.4032</v>
      </c>
      <c r="D19" s="5">
        <v>5056.71</v>
      </c>
      <c r="F19" s="33">
        <v>0</v>
      </c>
    </row>
    <row r="20" spans="1:6" ht="15.75">
      <c r="A20" s="2" t="s">
        <v>164</v>
      </c>
      <c r="B20" s="5"/>
      <c r="C20" s="6">
        <v>1.6866000000000001</v>
      </c>
      <c r="D20" s="5">
        <v>6606.19</v>
      </c>
      <c r="F20" s="33">
        <v>6902.5</v>
      </c>
    </row>
    <row r="21" spans="1:6" ht="15.75">
      <c r="A21" s="8" t="s">
        <v>163</v>
      </c>
      <c r="B21" s="9"/>
      <c r="C21" s="10">
        <v>1.9891000000000001</v>
      </c>
      <c r="D21" s="9">
        <f>+C21*3003.44</f>
        <v>5974.1425040000004</v>
      </c>
      <c r="F21" s="33">
        <v>4050</v>
      </c>
    </row>
    <row r="22" spans="1:6" ht="15.75">
      <c r="A22" s="8" t="s">
        <v>162</v>
      </c>
      <c r="B22" s="9"/>
      <c r="C22" s="10">
        <v>1.6391</v>
      </c>
      <c r="D22" s="9">
        <v>5235.16</v>
      </c>
      <c r="F22" s="33">
        <v>0</v>
      </c>
    </row>
    <row r="23" spans="1:6" ht="15.75">
      <c r="A23" s="8" t="s">
        <v>161</v>
      </c>
      <c r="B23" s="9"/>
      <c r="C23" s="10">
        <v>1.7927</v>
      </c>
      <c r="D23" s="9">
        <v>6484.34</v>
      </c>
      <c r="F23" s="33">
        <v>0</v>
      </c>
    </row>
    <row r="24" spans="1:6" ht="15.75">
      <c r="A24" s="8" t="s">
        <v>160</v>
      </c>
      <c r="B24" s="9"/>
      <c r="C24" s="10">
        <v>1.9373</v>
      </c>
      <c r="D24" s="9">
        <v>7435.23</v>
      </c>
      <c r="F24" s="33">
        <v>12882</v>
      </c>
    </row>
    <row r="25" spans="1:6" ht="15.75">
      <c r="A25" s="1" t="s">
        <v>159</v>
      </c>
      <c r="B25" s="9"/>
      <c r="C25" s="10">
        <v>1.3737999999999999</v>
      </c>
      <c r="D25" s="9">
        <v>5094.93</v>
      </c>
      <c r="F25" s="33">
        <v>4900</v>
      </c>
    </row>
    <row r="26" spans="1:6" ht="15.75">
      <c r="A26" s="1" t="s">
        <v>158</v>
      </c>
      <c r="B26" s="9"/>
      <c r="C26" s="10">
        <v>1.4315</v>
      </c>
      <c r="D26" s="9">
        <v>5414.22</v>
      </c>
      <c r="F26" s="33">
        <v>0</v>
      </c>
    </row>
    <row r="27" spans="1:6" ht="15.75">
      <c r="A27" s="8" t="s">
        <v>157</v>
      </c>
      <c r="B27" s="9"/>
      <c r="C27" s="10">
        <v>1.5835999999999999</v>
      </c>
      <c r="D27" s="9">
        <v>5773.5</v>
      </c>
      <c r="F27" s="33">
        <v>284</v>
      </c>
    </row>
    <row r="28" spans="1:6" ht="15.75">
      <c r="A28" s="8" t="s">
        <v>156</v>
      </c>
      <c r="B28" s="9"/>
      <c r="C28" s="10">
        <v>1.7138</v>
      </c>
      <c r="D28" s="9">
        <v>6529.7</v>
      </c>
      <c r="F28" s="33">
        <v>6312.51</v>
      </c>
    </row>
    <row r="29" spans="1:6" ht="15.75">
      <c r="A29" s="8" t="s">
        <v>155</v>
      </c>
      <c r="B29" s="9"/>
      <c r="C29" s="10">
        <v>1.7396</v>
      </c>
      <c r="D29" s="9">
        <v>6109.72</v>
      </c>
      <c r="F29" s="33">
        <v>49.56</v>
      </c>
    </row>
    <row r="30" spans="1:6" ht="15.75">
      <c r="A30" s="2" t="s">
        <v>154</v>
      </c>
      <c r="B30" s="11"/>
      <c r="C30" s="12">
        <v>1.4759</v>
      </c>
      <c r="D30" s="11">
        <v>5469.83</v>
      </c>
      <c r="F30" s="33">
        <v>875.75</v>
      </c>
    </row>
    <row r="31" spans="1:6" ht="15.75">
      <c r="A31" s="2" t="s">
        <v>153</v>
      </c>
      <c r="B31" s="11"/>
      <c r="C31" s="12">
        <v>1.5199</v>
      </c>
      <c r="D31" s="11">
        <v>5636.84</v>
      </c>
      <c r="F31" s="33">
        <v>0</v>
      </c>
    </row>
    <row r="32" spans="1:6" ht="15.75">
      <c r="A32" s="13" t="s">
        <v>152</v>
      </c>
      <c r="B32" s="11"/>
      <c r="C32" s="12">
        <v>1.6133999999999999</v>
      </c>
      <c r="D32" s="11">
        <v>6192.03</v>
      </c>
      <c r="F32" s="33">
        <v>24759</v>
      </c>
    </row>
    <row r="33" spans="1:6" ht="15.75">
      <c r="A33" s="13" t="s">
        <v>151</v>
      </c>
      <c r="B33" s="11"/>
      <c r="C33" s="12">
        <v>1.1812</v>
      </c>
      <c r="D33" s="11">
        <v>3895.14</v>
      </c>
      <c r="F33" s="33">
        <v>299.83999999999997</v>
      </c>
    </row>
    <row r="34" spans="1:6" ht="15.75">
      <c r="A34" s="13" t="s">
        <v>150</v>
      </c>
      <c r="B34" s="11"/>
      <c r="C34" s="12">
        <v>1.4186000000000001</v>
      </c>
      <c r="D34" s="11">
        <v>4916.2</v>
      </c>
      <c r="F34" s="33">
        <v>0.17</v>
      </c>
    </row>
    <row r="35" spans="1:6" ht="15.75">
      <c r="A35" s="13" t="s">
        <v>149</v>
      </c>
      <c r="B35" s="11"/>
      <c r="C35" s="12">
        <v>1.4594</v>
      </c>
      <c r="D35" s="11">
        <v>4792.24</v>
      </c>
      <c r="F35" s="33">
        <v>0</v>
      </c>
    </row>
    <row r="36" spans="1:6" ht="15.75">
      <c r="A36" s="13" t="s">
        <v>148</v>
      </c>
      <c r="B36" s="11"/>
      <c r="C36" s="12">
        <v>1.607</v>
      </c>
      <c r="D36" s="11">
        <v>5923.82</v>
      </c>
      <c r="F36" s="33">
        <v>0</v>
      </c>
    </row>
    <row r="37" spans="1:6" ht="15.75">
      <c r="A37" s="13" t="s">
        <v>147</v>
      </c>
      <c r="B37" s="11"/>
      <c r="C37" s="12">
        <v>1.3839999999999999</v>
      </c>
      <c r="D37" s="11">
        <v>4420.13</v>
      </c>
      <c r="F37" s="33">
        <v>0.4</v>
      </c>
    </row>
    <row r="38" spans="1:6" ht="15.75">
      <c r="A38" s="8" t="s">
        <v>146</v>
      </c>
      <c r="B38" s="9"/>
      <c r="C38" s="10">
        <v>1.02</v>
      </c>
      <c r="D38" s="9">
        <f>+C38*3003.44</f>
        <v>3063.5088000000001</v>
      </c>
      <c r="F38" s="33">
        <v>1550</v>
      </c>
    </row>
    <row r="39" spans="1:6" ht="15.75">
      <c r="A39" s="8" t="s">
        <v>145</v>
      </c>
      <c r="B39" s="9"/>
      <c r="C39" s="10">
        <v>1.6536</v>
      </c>
      <c r="D39" s="9">
        <v>8235.65</v>
      </c>
      <c r="F39" s="33">
        <v>1375</v>
      </c>
    </row>
    <row r="40" spans="1:6" ht="15.75">
      <c r="A40" s="8" t="s">
        <v>144</v>
      </c>
      <c r="B40" s="9"/>
      <c r="C40" s="10">
        <v>1.7821</v>
      </c>
      <c r="D40" s="9">
        <v>6919.3</v>
      </c>
      <c r="F40" s="33">
        <v>8425</v>
      </c>
    </row>
    <row r="41" spans="1:6" ht="15.75">
      <c r="A41" s="8" t="s">
        <v>143</v>
      </c>
      <c r="B41" s="9"/>
      <c r="C41" s="10">
        <v>1.1880999999999999</v>
      </c>
      <c r="D41" s="9">
        <v>4613.0600000000004</v>
      </c>
      <c r="F41" s="9">
        <v>2000</v>
      </c>
    </row>
    <row r="42" spans="1:6" ht="15.75">
      <c r="A42" s="8" t="s">
        <v>142</v>
      </c>
      <c r="B42" s="9"/>
      <c r="C42" s="10">
        <v>1.6722999999999999</v>
      </c>
      <c r="D42" s="9">
        <v>5793.55</v>
      </c>
      <c r="F42" s="33">
        <v>22475</v>
      </c>
    </row>
    <row r="43" spans="1:6" ht="15.75">
      <c r="A43" s="8" t="s">
        <v>141</v>
      </c>
      <c r="B43" s="9"/>
      <c r="C43" s="9">
        <v>0</v>
      </c>
      <c r="D43" s="9"/>
      <c r="F43" s="33">
        <v>46.67</v>
      </c>
    </row>
    <row r="44" spans="1:6" ht="15.75">
      <c r="A44" s="8" t="s">
        <v>140</v>
      </c>
      <c r="B44" s="9"/>
      <c r="C44" s="9">
        <v>0</v>
      </c>
      <c r="D44" s="9"/>
      <c r="F44" s="33">
        <v>23.27</v>
      </c>
    </row>
    <row r="45" spans="1:6" ht="15.75">
      <c r="A45" s="2" t="s">
        <v>139</v>
      </c>
      <c r="B45" s="9"/>
      <c r="C45" s="9">
        <v>5.66</v>
      </c>
      <c r="D45" s="9">
        <v>21991.53</v>
      </c>
      <c r="F45" s="33">
        <v>21</v>
      </c>
    </row>
    <row r="46" spans="1:6" ht="15.75">
      <c r="A46" s="2" t="s">
        <v>138</v>
      </c>
      <c r="B46" s="9"/>
      <c r="C46" s="9">
        <v>4.1100000000000003</v>
      </c>
      <c r="D46" s="9">
        <v>15989.12</v>
      </c>
      <c r="F46" s="33">
        <v>5</v>
      </c>
    </row>
    <row r="47" spans="1:6" ht="15.75">
      <c r="A47" s="14" t="s">
        <v>137</v>
      </c>
      <c r="B47" s="9"/>
      <c r="C47" s="9">
        <v>4.7</v>
      </c>
      <c r="D47" s="9">
        <v>15989.12</v>
      </c>
      <c r="F47" s="33">
        <v>793</v>
      </c>
    </row>
    <row r="48" spans="1:6" ht="15.75">
      <c r="A48" s="1" t="s">
        <v>136</v>
      </c>
      <c r="B48" s="9"/>
      <c r="C48" s="10">
        <v>4.056</v>
      </c>
      <c r="D48" s="9">
        <f>+C48*3649.4</f>
        <v>14801.966400000001</v>
      </c>
      <c r="F48" s="9">
        <v>0</v>
      </c>
    </row>
    <row r="49" spans="1:6" ht="15.75">
      <c r="A49" s="8" t="s">
        <v>135</v>
      </c>
      <c r="B49" s="9"/>
      <c r="C49" s="10">
        <v>5.0481999999999996</v>
      </c>
      <c r="D49" s="9">
        <f>+C49*3003.44</f>
        <v>15161.965807999999</v>
      </c>
      <c r="F49" s="9">
        <v>18</v>
      </c>
    </row>
    <row r="50" spans="1:6" ht="15.75">
      <c r="A50" s="1" t="s">
        <v>134</v>
      </c>
      <c r="B50" s="9"/>
      <c r="C50" s="10">
        <v>4.58</v>
      </c>
      <c r="D50" s="9">
        <f>+C50*3003.44</f>
        <v>13755.7552</v>
      </c>
      <c r="F50" s="9">
        <v>220</v>
      </c>
    </row>
    <row r="51" spans="1:6" ht="15.75">
      <c r="A51" s="1" t="s">
        <v>127</v>
      </c>
      <c r="B51" s="9"/>
      <c r="C51" s="10">
        <v>3.444</v>
      </c>
      <c r="D51" s="9">
        <v>12392.48</v>
      </c>
      <c r="F51" s="9">
        <v>120</v>
      </c>
    </row>
    <row r="52" spans="1:6" ht="15.75">
      <c r="A52" s="1" t="s">
        <v>133</v>
      </c>
      <c r="B52" s="9"/>
      <c r="C52" s="10">
        <v>4.58</v>
      </c>
      <c r="D52" s="9">
        <f>+C52*3003.44</f>
        <v>13755.7552</v>
      </c>
      <c r="F52" s="9">
        <v>40</v>
      </c>
    </row>
    <row r="53" spans="1:6" ht="15.75">
      <c r="A53" s="1" t="s">
        <v>132</v>
      </c>
      <c r="B53" s="9"/>
      <c r="C53" s="10">
        <v>4.58</v>
      </c>
      <c r="D53" s="9">
        <f>+C53*3003.44</f>
        <v>13755.7552</v>
      </c>
      <c r="F53" s="9">
        <v>20</v>
      </c>
    </row>
    <row r="54" spans="1:6" ht="15.75">
      <c r="A54" s="1" t="s">
        <v>131</v>
      </c>
      <c r="B54" s="9"/>
      <c r="C54" s="10">
        <v>4.58</v>
      </c>
      <c r="D54" s="9">
        <f>+C54*3003.44</f>
        <v>13755.7552</v>
      </c>
      <c r="F54" s="9">
        <v>240</v>
      </c>
    </row>
    <row r="55" spans="1:6" ht="15.75">
      <c r="A55" s="1" t="s">
        <v>130</v>
      </c>
      <c r="B55" s="9"/>
      <c r="C55" s="10">
        <v>1.8717000000000001</v>
      </c>
      <c r="D55" s="9">
        <f>+C55*3003.44</f>
        <v>5621.5386480000006</v>
      </c>
      <c r="F55" s="9">
        <v>0</v>
      </c>
    </row>
    <row r="56" spans="1:6" ht="15.75">
      <c r="A56" s="1" t="s">
        <v>129</v>
      </c>
      <c r="B56" s="9"/>
      <c r="C56" s="10">
        <v>7.3783000000000003</v>
      </c>
      <c r="D56" s="9">
        <v>22868.220700000002</v>
      </c>
      <c r="F56" s="9">
        <v>0</v>
      </c>
    </row>
    <row r="57" spans="1:6" ht="15.75">
      <c r="A57" s="1" t="s">
        <v>128</v>
      </c>
      <c r="B57" s="9"/>
      <c r="C57" s="10">
        <v>7.3783000000000003</v>
      </c>
      <c r="D57" s="9">
        <v>22868.220700000002</v>
      </c>
      <c r="F57" s="9">
        <v>56</v>
      </c>
    </row>
    <row r="58" spans="1:6" ht="15.75">
      <c r="A58" s="15" t="s">
        <v>127</v>
      </c>
      <c r="B58" s="9"/>
      <c r="C58" s="10">
        <v>7.3783000000000003</v>
      </c>
      <c r="D58" s="9">
        <v>22868.220700000002</v>
      </c>
      <c r="F58" s="9">
        <v>20</v>
      </c>
    </row>
    <row r="59" spans="1:6" ht="15.75">
      <c r="A59" s="2" t="s">
        <v>126</v>
      </c>
      <c r="B59" s="9"/>
      <c r="C59" s="10">
        <v>4.5860000000000003</v>
      </c>
      <c r="D59" s="9">
        <v>22868.220700000002</v>
      </c>
      <c r="F59" s="9">
        <v>20</v>
      </c>
    </row>
    <row r="60" spans="1:6" ht="15.75">
      <c r="A60" s="8" t="s">
        <v>125</v>
      </c>
      <c r="B60" s="9"/>
      <c r="C60" s="10">
        <v>8.1890000000000001</v>
      </c>
      <c r="D60" s="9">
        <f>+C60*3003.44</f>
        <v>24595.170160000001</v>
      </c>
      <c r="F60" s="9">
        <v>0</v>
      </c>
    </row>
    <row r="61" spans="1:6" ht="15.75">
      <c r="A61" s="1" t="s">
        <v>118</v>
      </c>
      <c r="B61" s="9"/>
      <c r="C61" s="10">
        <v>7.8739999999999997</v>
      </c>
      <c r="D61" s="9">
        <f>+C61*3003.44</f>
        <v>23649.08656</v>
      </c>
      <c r="F61" s="9">
        <v>0</v>
      </c>
    </row>
    <row r="62" spans="1:6" ht="15.75">
      <c r="A62" s="1" t="s">
        <v>117</v>
      </c>
      <c r="B62" s="9"/>
      <c r="C62" s="10">
        <v>7.8739999999999997</v>
      </c>
      <c r="D62" s="9">
        <v>23649.09</v>
      </c>
      <c r="F62" s="9">
        <v>0</v>
      </c>
    </row>
    <row r="63" spans="1:6" ht="15.75">
      <c r="A63" s="1" t="s">
        <v>124</v>
      </c>
      <c r="B63" s="11"/>
      <c r="C63" s="12">
        <v>5.52</v>
      </c>
      <c r="D63" s="9">
        <f>+C63*3003.44</f>
        <v>16578.988799999999</v>
      </c>
      <c r="F63" s="11">
        <v>40</v>
      </c>
    </row>
    <row r="64" spans="1:6" ht="15.75">
      <c r="A64" s="8" t="s">
        <v>123</v>
      </c>
      <c r="B64" s="9"/>
      <c r="C64" s="10">
        <v>6.9859999999999998</v>
      </c>
      <c r="D64" s="9">
        <f>+C64*3003.44</f>
        <v>20982.03184</v>
      </c>
      <c r="F64" s="9">
        <v>0</v>
      </c>
    </row>
    <row r="65" spans="1:6" ht="15.75">
      <c r="A65" s="1" t="s">
        <v>122</v>
      </c>
      <c r="B65" s="11"/>
      <c r="C65" s="12">
        <v>0</v>
      </c>
      <c r="D65" s="11">
        <f>+C65*3003.44</f>
        <v>0</v>
      </c>
      <c r="F65" s="11">
        <v>0</v>
      </c>
    </row>
    <row r="66" spans="1:6" ht="15.75">
      <c r="A66" s="1" t="s">
        <v>121</v>
      </c>
      <c r="B66" s="9"/>
      <c r="C66" s="10">
        <v>6.9859999999999998</v>
      </c>
      <c r="D66" s="9">
        <f>+C66*3003.44</f>
        <v>20982.03184</v>
      </c>
      <c r="F66" s="9">
        <v>15</v>
      </c>
    </row>
    <row r="67" spans="1:6" ht="15.75">
      <c r="A67" s="16" t="s">
        <v>120</v>
      </c>
      <c r="B67" s="11"/>
      <c r="C67" s="12">
        <v>4.4439000000000002</v>
      </c>
      <c r="D67" s="11">
        <v>14742.65</v>
      </c>
      <c r="F67" s="11">
        <v>0</v>
      </c>
    </row>
    <row r="68" spans="1:6" ht="15.75">
      <c r="A68" s="16" t="s">
        <v>119</v>
      </c>
      <c r="B68" s="11"/>
      <c r="C68" s="12">
        <v>3.6141000000000001</v>
      </c>
      <c r="D68" s="11">
        <v>13004.46</v>
      </c>
      <c r="F68" s="11">
        <v>340</v>
      </c>
    </row>
    <row r="69" spans="1:6" ht="15.75">
      <c r="A69" s="1" t="s">
        <v>118</v>
      </c>
      <c r="B69" s="9"/>
      <c r="C69" s="10">
        <v>7.8739999999999997</v>
      </c>
      <c r="D69" s="9">
        <f>+C69*3003.44</f>
        <v>23649.08656</v>
      </c>
      <c r="F69" s="9">
        <v>0</v>
      </c>
    </row>
    <row r="70" spans="1:6" ht="15.75">
      <c r="A70" s="1" t="s">
        <v>117</v>
      </c>
      <c r="B70" s="9"/>
      <c r="C70" s="10">
        <v>7.8739999999999997</v>
      </c>
      <c r="D70" s="9">
        <v>23649.09</v>
      </c>
      <c r="F70" s="9">
        <v>140</v>
      </c>
    </row>
    <row r="71" spans="1:6" ht="15.75">
      <c r="A71" s="16" t="s">
        <v>116</v>
      </c>
      <c r="B71" s="11"/>
      <c r="C71" s="12">
        <v>4.7194000000000003</v>
      </c>
      <c r="D71" s="11">
        <v>15656.48</v>
      </c>
      <c r="F71" s="11">
        <v>54</v>
      </c>
    </row>
    <row r="72" spans="1:6" ht="15.75">
      <c r="A72" s="16" t="s">
        <v>115</v>
      </c>
      <c r="B72" s="11"/>
      <c r="C72" s="12">
        <v>5.2809999999999997</v>
      </c>
      <c r="D72" s="11">
        <v>17519.84</v>
      </c>
      <c r="F72" s="11">
        <v>0</v>
      </c>
    </row>
    <row r="73" spans="1:6" ht="15.75">
      <c r="A73" s="16" t="s">
        <v>114</v>
      </c>
      <c r="B73" s="11"/>
      <c r="C73" s="12">
        <v>5.2809999999999997</v>
      </c>
      <c r="D73" s="11">
        <v>17519.84</v>
      </c>
      <c r="F73" s="11">
        <v>18</v>
      </c>
    </row>
    <row r="74" spans="1:6" ht="15.75">
      <c r="A74" s="16" t="s">
        <v>114</v>
      </c>
      <c r="B74" s="11"/>
      <c r="C74" s="12">
        <v>5.2809999999999997</v>
      </c>
      <c r="D74" s="11">
        <v>17519.84</v>
      </c>
      <c r="F74" s="11">
        <v>18</v>
      </c>
    </row>
    <row r="75" spans="1:6" ht="15.75">
      <c r="A75" s="2" t="s">
        <v>113</v>
      </c>
      <c r="B75" s="11"/>
      <c r="C75" s="12">
        <v>5.2809999999999997</v>
      </c>
      <c r="D75" s="11">
        <v>17519.84</v>
      </c>
      <c r="F75" s="11">
        <v>18</v>
      </c>
    </row>
    <row r="76" spans="1:6" ht="15.75">
      <c r="A76" s="16" t="s">
        <v>112</v>
      </c>
      <c r="B76" s="11"/>
      <c r="C76" s="12">
        <v>5.2789000000000001</v>
      </c>
      <c r="D76" s="11">
        <v>17512.7</v>
      </c>
      <c r="F76" s="11">
        <v>0</v>
      </c>
    </row>
    <row r="77" spans="1:6" ht="15.75">
      <c r="A77" s="16" t="s">
        <v>111</v>
      </c>
      <c r="B77" s="11"/>
      <c r="C77" s="12">
        <v>5.2789000000000001</v>
      </c>
      <c r="D77" s="11">
        <v>17512.7</v>
      </c>
      <c r="F77" s="11">
        <v>72</v>
      </c>
    </row>
    <row r="78" spans="1:6" ht="15.75">
      <c r="A78" s="16" t="s">
        <v>110</v>
      </c>
      <c r="B78" s="11"/>
      <c r="C78" s="12">
        <v>5.2789000000000001</v>
      </c>
      <c r="D78" s="11">
        <v>17512.7</v>
      </c>
      <c r="F78" s="11">
        <v>0</v>
      </c>
    </row>
    <row r="79" spans="1:6" ht="15.75">
      <c r="A79" s="16" t="s">
        <v>109</v>
      </c>
      <c r="B79" s="11"/>
      <c r="C79" s="12">
        <v>5.2789000000000001</v>
      </c>
      <c r="D79" s="11">
        <v>17512.7</v>
      </c>
      <c r="F79" s="11">
        <v>72</v>
      </c>
    </row>
    <row r="80" spans="1:6" ht="15.75">
      <c r="A80" s="16" t="s">
        <v>108</v>
      </c>
      <c r="B80" s="11"/>
      <c r="C80" s="12">
        <v>5.1539999999999999</v>
      </c>
      <c r="D80" s="11">
        <v>17098.259999999998</v>
      </c>
      <c r="F80" s="11">
        <v>18</v>
      </c>
    </row>
    <row r="81" spans="1:6" ht="15.75">
      <c r="A81" s="16" t="s">
        <v>107</v>
      </c>
      <c r="B81" s="11"/>
      <c r="C81" s="12">
        <v>5.1562000000000001</v>
      </c>
      <c r="D81" s="11">
        <v>17105.759999999998</v>
      </c>
      <c r="F81" s="11">
        <v>0</v>
      </c>
    </row>
    <row r="82" spans="1:6" ht="15.75">
      <c r="A82" s="16" t="s">
        <v>106</v>
      </c>
      <c r="B82" s="11"/>
      <c r="C82" s="12">
        <v>5.1539999999999999</v>
      </c>
      <c r="D82" s="11">
        <v>17098.259999999998</v>
      </c>
      <c r="F82" s="11">
        <v>0</v>
      </c>
    </row>
    <row r="83" spans="1:6" ht="15.75">
      <c r="A83" s="16" t="s">
        <v>105</v>
      </c>
      <c r="B83" s="11"/>
      <c r="C83" s="12">
        <v>5.1562000000000001</v>
      </c>
      <c r="D83" s="11">
        <v>17105.759999999998</v>
      </c>
      <c r="F83" s="11">
        <v>18</v>
      </c>
    </row>
    <row r="84" spans="1:6" ht="15.75">
      <c r="A84" s="2" t="s">
        <v>104</v>
      </c>
      <c r="B84" s="11"/>
      <c r="C84" s="12">
        <v>5.1562000000000001</v>
      </c>
      <c r="D84" s="11">
        <v>17105.759999999998</v>
      </c>
      <c r="F84" s="11">
        <v>72</v>
      </c>
    </row>
    <row r="85" spans="1:6" ht="15.75">
      <c r="A85" s="8" t="s">
        <v>103</v>
      </c>
      <c r="B85" s="9"/>
      <c r="C85" s="10">
        <v>0</v>
      </c>
      <c r="D85" s="9"/>
      <c r="F85" s="9">
        <v>14.16</v>
      </c>
    </row>
    <row r="86" spans="1:6" ht="15.75">
      <c r="A86" s="8" t="s">
        <v>102</v>
      </c>
      <c r="B86" s="9"/>
      <c r="C86" s="10">
        <v>0</v>
      </c>
      <c r="D86" s="9"/>
      <c r="F86" s="9">
        <v>78.97</v>
      </c>
    </row>
    <row r="87" spans="1:6" ht="15.75">
      <c r="A87" s="8" t="s">
        <v>101</v>
      </c>
      <c r="B87" s="9"/>
      <c r="C87" s="10">
        <v>0</v>
      </c>
      <c r="D87" s="9"/>
      <c r="F87" s="9">
        <v>89.53</v>
      </c>
    </row>
    <row r="88" spans="1:6" ht="15.75">
      <c r="A88" s="8" t="s">
        <v>100</v>
      </c>
      <c r="B88" s="9"/>
      <c r="C88" s="10">
        <v>25.095800000000001</v>
      </c>
      <c r="D88" s="9">
        <f>+C88*3003.44</f>
        <v>75373.729552000004</v>
      </c>
      <c r="F88" s="9">
        <v>52.9</v>
      </c>
    </row>
    <row r="89" spans="1:6" ht="15.75">
      <c r="A89" s="8" t="s">
        <v>99</v>
      </c>
      <c r="B89" s="9"/>
      <c r="C89" s="10">
        <v>0</v>
      </c>
      <c r="D89" s="9"/>
      <c r="F89" s="9">
        <v>55.28</v>
      </c>
    </row>
    <row r="90" spans="1:6" ht="15.75">
      <c r="A90" s="8" t="s">
        <v>98</v>
      </c>
      <c r="B90" s="9"/>
      <c r="C90" s="10">
        <v>3.8723999999999998</v>
      </c>
      <c r="D90" s="9">
        <f>+C90*3003.44</f>
        <v>11630.521056</v>
      </c>
      <c r="F90" s="9">
        <v>103</v>
      </c>
    </row>
    <row r="91" spans="1:6" ht="15.75">
      <c r="A91" s="1" t="s">
        <v>97</v>
      </c>
      <c r="B91" s="11"/>
      <c r="C91" s="18" t="s">
        <v>87</v>
      </c>
      <c r="D91" s="19" t="s">
        <v>87</v>
      </c>
      <c r="F91" s="11">
        <v>42.9</v>
      </c>
    </row>
    <row r="92" spans="1:6" ht="15.75">
      <c r="A92" s="8" t="s">
        <v>96</v>
      </c>
      <c r="B92" s="9"/>
      <c r="C92" s="10" t="s">
        <v>95</v>
      </c>
      <c r="D92" s="9"/>
      <c r="F92" s="9">
        <v>330.11</v>
      </c>
    </row>
    <row r="93" spans="1:6" ht="15.75">
      <c r="A93" s="2" t="s">
        <v>94</v>
      </c>
      <c r="B93" s="9"/>
      <c r="C93" s="10"/>
      <c r="D93" s="9"/>
      <c r="F93" s="9">
        <v>100</v>
      </c>
    </row>
    <row r="94" spans="1:6" ht="15.75">
      <c r="A94" s="8" t="s">
        <v>93</v>
      </c>
      <c r="B94" s="9"/>
      <c r="C94" s="10">
        <v>6.45</v>
      </c>
      <c r="D94" s="9">
        <f>+C94*3003.44</f>
        <v>19372.188000000002</v>
      </c>
      <c r="F94" s="9">
        <v>100</v>
      </c>
    </row>
    <row r="95" spans="1:6" ht="15.75">
      <c r="A95" s="8" t="s">
        <v>92</v>
      </c>
      <c r="B95" s="9"/>
      <c r="C95" s="10">
        <v>6.9298000000000002</v>
      </c>
      <c r="D95" s="9">
        <f>+C95*3003.44</f>
        <v>20813.238512</v>
      </c>
      <c r="F95" s="9">
        <v>10</v>
      </c>
    </row>
    <row r="96" spans="1:6" ht="15.75">
      <c r="A96" s="8" t="s">
        <v>91</v>
      </c>
      <c r="B96" s="9"/>
      <c r="C96" s="10">
        <v>4.4455999999999998</v>
      </c>
      <c r="D96" s="9">
        <f>+C96*3003.44</f>
        <v>13352.092864</v>
      </c>
      <c r="F96" s="9">
        <v>50</v>
      </c>
    </row>
    <row r="97" spans="1:6" ht="15.75">
      <c r="A97" s="1" t="s">
        <v>90</v>
      </c>
      <c r="B97" s="9"/>
      <c r="C97" s="10">
        <v>4.4455999999999998</v>
      </c>
      <c r="D97" s="9">
        <f>+C97*3003.44</f>
        <v>13352.092864</v>
      </c>
      <c r="F97" s="9">
        <v>0</v>
      </c>
    </row>
    <row r="98" spans="1:6" ht="15.75">
      <c r="A98" s="8" t="s">
        <v>89</v>
      </c>
      <c r="B98" s="9"/>
      <c r="C98" s="10">
        <v>3.4983</v>
      </c>
      <c r="D98" s="9">
        <f>+C98*3003.44</f>
        <v>10506.934152</v>
      </c>
      <c r="F98" s="9">
        <v>0</v>
      </c>
    </row>
    <row r="99" spans="1:6" ht="15.75">
      <c r="A99" s="1" t="s">
        <v>88</v>
      </c>
      <c r="B99" s="11"/>
      <c r="C99" s="18" t="s">
        <v>87</v>
      </c>
      <c r="D99" s="19" t="s">
        <v>87</v>
      </c>
      <c r="F99" s="11">
        <v>16.5</v>
      </c>
    </row>
    <row r="100" spans="1:6" ht="15.75">
      <c r="A100" s="1" t="s">
        <v>86</v>
      </c>
      <c r="B100" s="11"/>
      <c r="C100" s="18">
        <v>7.89</v>
      </c>
      <c r="D100" s="19">
        <f>+C100*3225.97</f>
        <v>25452.903299999998</v>
      </c>
      <c r="F100" s="11">
        <v>11</v>
      </c>
    </row>
    <row r="101" spans="1:6" ht="15.75">
      <c r="A101" s="1" t="s">
        <v>85</v>
      </c>
      <c r="B101" s="11"/>
      <c r="C101" s="18">
        <v>8.9190000000000005</v>
      </c>
      <c r="D101" s="19">
        <f>+C101*3225.97</f>
        <v>28772.42643</v>
      </c>
      <c r="F101" s="11">
        <v>25</v>
      </c>
    </row>
    <row r="102" spans="1:6" ht="15.75">
      <c r="A102" s="1" t="s">
        <v>84</v>
      </c>
      <c r="B102" s="11"/>
      <c r="C102" s="18">
        <v>0</v>
      </c>
      <c r="D102" s="19">
        <v>0</v>
      </c>
      <c r="F102" s="11">
        <v>-0.5</v>
      </c>
    </row>
    <row r="103" spans="1:6" ht="15.75">
      <c r="A103" s="1" t="s">
        <v>83</v>
      </c>
      <c r="B103" s="11"/>
      <c r="C103" s="18">
        <v>0.49070000000000003</v>
      </c>
      <c r="D103" s="19">
        <v>1749.64</v>
      </c>
      <c r="F103" s="11">
        <v>-0.5</v>
      </c>
    </row>
    <row r="104" spans="1:6" ht="15.75">
      <c r="A104" s="1" t="s">
        <v>82</v>
      </c>
      <c r="B104" s="11"/>
      <c r="C104" s="18">
        <v>0.4521</v>
      </c>
      <c r="D104" s="19">
        <v>1319.94</v>
      </c>
      <c r="F104" s="11">
        <v>3806.5</v>
      </c>
    </row>
    <row r="105" spans="1:6" ht="15.75">
      <c r="A105" s="1" t="s">
        <v>81</v>
      </c>
      <c r="B105" s="11"/>
      <c r="C105" s="18">
        <v>0.8</v>
      </c>
      <c r="D105" s="19">
        <v>2590.52</v>
      </c>
      <c r="F105" s="11">
        <v>0</v>
      </c>
    </row>
    <row r="106" spans="1:6" ht="15.75">
      <c r="A106" s="1" t="s">
        <v>80</v>
      </c>
      <c r="B106" s="11"/>
      <c r="C106" s="18">
        <v>1.867</v>
      </c>
      <c r="D106" s="19">
        <v>6045.64</v>
      </c>
      <c r="F106" s="11">
        <v>225</v>
      </c>
    </row>
    <row r="107" spans="1:6" ht="15.75">
      <c r="A107" s="1" t="s">
        <v>79</v>
      </c>
      <c r="B107" s="11"/>
      <c r="C107" s="18">
        <v>1.2150000000000001</v>
      </c>
      <c r="D107" s="19">
        <v>3934.36</v>
      </c>
      <c r="F107" s="11">
        <v>225</v>
      </c>
    </row>
    <row r="108" spans="1:6" ht="15.75">
      <c r="A108" s="1" t="s">
        <v>77</v>
      </c>
      <c r="B108" s="11"/>
      <c r="C108" s="18">
        <v>2.4814400206683116</v>
      </c>
      <c r="D108" s="19">
        <v>8848.6910417021645</v>
      </c>
      <c r="F108" s="11">
        <v>1892.8</v>
      </c>
    </row>
    <row r="109" spans="1:6" ht="15.75">
      <c r="A109" s="1" t="s">
        <v>75</v>
      </c>
      <c r="B109" s="11"/>
      <c r="C109" s="18">
        <v>3.6845624549317355</v>
      </c>
      <c r="D109" s="19">
        <v>13138.965486163821</v>
      </c>
      <c r="F109" s="11">
        <v>150</v>
      </c>
    </row>
    <row r="110" spans="1:6" ht="15.75">
      <c r="A110" s="1" t="s">
        <v>78</v>
      </c>
      <c r="B110" s="11"/>
      <c r="C110" s="18">
        <v>0.43859999999999999</v>
      </c>
      <c r="D110" s="19">
        <v>1672.05</v>
      </c>
      <c r="F110" s="11">
        <v>25</v>
      </c>
    </row>
    <row r="111" spans="1:6" ht="15.75">
      <c r="A111" s="20" t="s">
        <v>77</v>
      </c>
      <c r="B111" s="11"/>
      <c r="C111" s="18">
        <v>2.8391999999999999</v>
      </c>
      <c r="D111" s="19">
        <v>10743.99</v>
      </c>
      <c r="F111" s="11">
        <v>1754</v>
      </c>
    </row>
    <row r="112" spans="1:6" ht="15.75">
      <c r="A112" s="20" t="s">
        <v>76</v>
      </c>
      <c r="B112" s="11"/>
      <c r="C112" s="18">
        <v>3.3148</v>
      </c>
      <c r="D112" s="19">
        <v>12543.48</v>
      </c>
      <c r="F112" s="11">
        <v>225</v>
      </c>
    </row>
    <row r="113" spans="1:6" ht="15.75">
      <c r="A113" s="20" t="s">
        <v>75</v>
      </c>
      <c r="B113" s="11"/>
      <c r="C113" s="18">
        <v>3.6846000000000001</v>
      </c>
      <c r="D113" s="19">
        <v>13138.96</v>
      </c>
      <c r="F113" s="11">
        <v>51</v>
      </c>
    </row>
    <row r="114" spans="1:6" ht="15.75">
      <c r="A114" s="1" t="s">
        <v>74</v>
      </c>
      <c r="B114" s="11"/>
      <c r="C114" s="18">
        <v>3.4912034922822568</v>
      </c>
      <c r="D114" s="19">
        <v>12449.457093303912</v>
      </c>
      <c r="F114" s="11">
        <v>245</v>
      </c>
    </row>
    <row r="115" spans="1:6" ht="15.75">
      <c r="A115" s="21" t="s">
        <v>73</v>
      </c>
      <c r="B115" s="11"/>
      <c r="C115" s="18">
        <v>4.7519999999999998</v>
      </c>
      <c r="D115" s="19">
        <v>14249.8401191048</v>
      </c>
      <c r="F115" s="11">
        <v>450</v>
      </c>
    </row>
    <row r="116" spans="1:6" ht="15.75">
      <c r="A116" s="1" t="s">
        <v>72</v>
      </c>
      <c r="B116" s="11"/>
      <c r="C116" s="18">
        <v>3.9960852280892296</v>
      </c>
      <c r="D116" s="19">
        <v>14249.840119104787</v>
      </c>
      <c r="F116" s="11">
        <v>136.75</v>
      </c>
    </row>
    <row r="117" spans="1:6" ht="15.75">
      <c r="A117" s="1" t="s">
        <v>71</v>
      </c>
      <c r="B117" s="11"/>
      <c r="C117" s="18">
        <v>3.9960852280892296</v>
      </c>
      <c r="D117" s="19">
        <v>14249.840119104787</v>
      </c>
      <c r="F117" s="11">
        <v>175</v>
      </c>
    </row>
    <row r="118" spans="1:6" ht="15.75">
      <c r="A118" s="1" t="s">
        <v>70</v>
      </c>
      <c r="B118" s="11"/>
      <c r="C118" s="18">
        <v>3.1038999999999999</v>
      </c>
      <c r="D118" s="19">
        <v>11168.53</v>
      </c>
      <c r="F118" s="11">
        <v>125</v>
      </c>
    </row>
    <row r="119" spans="1:6" ht="15.75">
      <c r="A119" s="1" t="s">
        <v>69</v>
      </c>
      <c r="B119" s="11"/>
      <c r="C119" s="18">
        <v>3.6201094673819094</v>
      </c>
      <c r="D119" s="19">
        <v>12909.12935521052</v>
      </c>
      <c r="F119" s="11">
        <v>25</v>
      </c>
    </row>
    <row r="120" spans="1:6" ht="15.75">
      <c r="A120" s="1" t="s">
        <v>68</v>
      </c>
      <c r="B120" s="11"/>
      <c r="C120" s="18">
        <v>3.1152277315749366</v>
      </c>
      <c r="D120" s="19">
        <v>11108.746329409645</v>
      </c>
      <c r="F120" s="11">
        <v>40.74</v>
      </c>
    </row>
    <row r="121" spans="1:6" ht="15.75">
      <c r="A121" s="21" t="s">
        <v>67</v>
      </c>
      <c r="B121" s="11"/>
      <c r="C121" s="18">
        <v>4.7519999999999998</v>
      </c>
      <c r="D121" s="19">
        <v>14249.840119104787</v>
      </c>
      <c r="F121" s="11">
        <v>175</v>
      </c>
    </row>
    <row r="122" spans="1:6" ht="15.75">
      <c r="A122" s="1" t="s">
        <v>66</v>
      </c>
      <c r="B122" s="11"/>
      <c r="C122" s="18">
        <v>2.6855000000000002</v>
      </c>
      <c r="D122" s="19">
        <v>9736.86</v>
      </c>
      <c r="F122" s="11">
        <v>0</v>
      </c>
    </row>
    <row r="123" spans="1:6" ht="15.75">
      <c r="A123" s="1" t="s">
        <v>65</v>
      </c>
      <c r="B123" s="11"/>
      <c r="C123" s="18">
        <v>3.6991000000000001</v>
      </c>
      <c r="D123" s="19">
        <v>13310.44</v>
      </c>
      <c r="F123" s="11">
        <v>400</v>
      </c>
    </row>
    <row r="124" spans="1:6" ht="15.75">
      <c r="A124" s="8" t="s">
        <v>64</v>
      </c>
      <c r="B124" s="9"/>
      <c r="C124" s="10">
        <v>1.6548</v>
      </c>
      <c r="D124" s="9">
        <v>6000</v>
      </c>
      <c r="F124" s="9">
        <v>99</v>
      </c>
    </row>
    <row r="125" spans="1:6" ht="15.75">
      <c r="A125" s="8" t="s">
        <v>63</v>
      </c>
      <c r="B125" s="9"/>
      <c r="C125" s="10">
        <v>2.4215</v>
      </c>
      <c r="D125" s="9">
        <v>9100</v>
      </c>
      <c r="F125" s="9">
        <v>330</v>
      </c>
    </row>
    <row r="126" spans="1:6" ht="15.75">
      <c r="A126" s="8" t="s">
        <v>62</v>
      </c>
      <c r="B126" s="9"/>
      <c r="C126" s="10">
        <v>1.5285</v>
      </c>
      <c r="D126" s="9">
        <f>+C126*3003.44</f>
        <v>4590.7580399999997</v>
      </c>
      <c r="F126" s="9">
        <v>161</v>
      </c>
    </row>
    <row r="127" spans="1:6" ht="15.75">
      <c r="A127" s="8" t="s">
        <v>61</v>
      </c>
      <c r="B127" s="9"/>
      <c r="C127" s="10">
        <v>2</v>
      </c>
      <c r="D127" s="9">
        <f>+C127*3003.44</f>
        <v>6006.88</v>
      </c>
      <c r="F127" s="9">
        <v>20</v>
      </c>
    </row>
    <row r="128" spans="1:6" ht="15.75">
      <c r="A128" s="22" t="s">
        <v>60</v>
      </c>
      <c r="B128" s="23"/>
      <c r="C128" s="24">
        <v>1.89</v>
      </c>
      <c r="D128" s="23">
        <f>C128*3003.44</f>
        <v>5676.5015999999996</v>
      </c>
      <c r="F128" s="23">
        <v>136</v>
      </c>
    </row>
    <row r="129" spans="1:6" ht="15.75">
      <c r="A129" s="1" t="s">
        <v>59</v>
      </c>
      <c r="B129" s="25"/>
      <c r="C129" s="26">
        <v>1.7581</v>
      </c>
      <c r="D129" s="25">
        <f>C129*3199.98</f>
        <v>5625.8848379999999</v>
      </c>
      <c r="F129" s="25">
        <v>220</v>
      </c>
    </row>
    <row r="130" spans="1:6" ht="15.75">
      <c r="A130" s="1" t="s">
        <v>58</v>
      </c>
      <c r="B130" s="25"/>
      <c r="C130" s="26">
        <v>1.8548</v>
      </c>
      <c r="D130" s="25">
        <f>C130*3199.98</f>
        <v>5935.3229039999997</v>
      </c>
      <c r="F130" s="25">
        <v>180</v>
      </c>
    </row>
    <row r="131" spans="1:6" ht="15.75">
      <c r="A131" s="1" t="s">
        <v>57</v>
      </c>
      <c r="B131" s="9"/>
      <c r="C131" s="27">
        <v>11.2</v>
      </c>
      <c r="D131" s="28">
        <f>+C131*3003.44</f>
        <v>33638.527999999998</v>
      </c>
      <c r="F131" s="9">
        <v>470</v>
      </c>
    </row>
    <row r="132" spans="1:6" ht="15.75">
      <c r="A132" s="1" t="s">
        <v>56</v>
      </c>
      <c r="B132" s="5"/>
      <c r="C132" s="6">
        <v>3.9719000000000002</v>
      </c>
      <c r="D132" s="28">
        <f>+C132*3003.44</f>
        <v>11929.363336</v>
      </c>
      <c r="F132" s="5">
        <v>2719.05</v>
      </c>
    </row>
    <row r="133" spans="1:6" ht="15.75">
      <c r="A133" s="1" t="s">
        <v>55</v>
      </c>
      <c r="B133" s="5"/>
      <c r="C133" s="6">
        <v>4.3581000000000003</v>
      </c>
      <c r="D133" s="28">
        <f>+C133*3003.44</f>
        <v>13089.291864000001</v>
      </c>
      <c r="F133" s="5">
        <v>0</v>
      </c>
    </row>
    <row r="134" spans="1:6" ht="15.75">
      <c r="A134" s="8" t="s">
        <v>54</v>
      </c>
      <c r="B134" s="9"/>
      <c r="C134" s="10">
        <v>0</v>
      </c>
      <c r="D134" s="9"/>
      <c r="F134" s="9">
        <v>36000</v>
      </c>
    </row>
    <row r="135" spans="1:6" ht="15.75">
      <c r="A135" s="8" t="s">
        <v>53</v>
      </c>
      <c r="B135" s="9"/>
      <c r="C135" s="10">
        <v>0</v>
      </c>
      <c r="D135" s="9"/>
      <c r="F135" s="9">
        <v>3000</v>
      </c>
    </row>
    <row r="136" spans="1:6" ht="15.75">
      <c r="A136" s="8" t="s">
        <v>52</v>
      </c>
      <c r="B136" s="17"/>
      <c r="C136" s="17">
        <v>0</v>
      </c>
      <c r="D136" s="17"/>
      <c r="F136" s="17">
        <v>6500</v>
      </c>
    </row>
    <row r="137" spans="1:6" ht="15.75">
      <c r="A137" s="1" t="s">
        <v>51</v>
      </c>
      <c r="B137" s="17"/>
      <c r="C137" s="10">
        <v>2.8000000000000001E-2</v>
      </c>
      <c r="D137" s="9">
        <v>470.46</v>
      </c>
      <c r="F137" s="17">
        <v>171500</v>
      </c>
    </row>
    <row r="138" spans="1:6" ht="15.75">
      <c r="A138" s="8" t="s">
        <v>50</v>
      </c>
      <c r="B138" s="9"/>
      <c r="C138" s="10">
        <v>1.9968999999999999</v>
      </c>
      <c r="D138" s="9">
        <v>6451</v>
      </c>
      <c r="F138" s="9">
        <v>3650</v>
      </c>
    </row>
    <row r="139" spans="1:6" ht="15.75">
      <c r="A139" s="1" t="s">
        <v>49</v>
      </c>
      <c r="B139" s="9"/>
      <c r="C139" s="10">
        <v>0.99050000000000005</v>
      </c>
      <c r="D139" s="9">
        <v>3429.58</v>
      </c>
      <c r="F139" s="9">
        <v>1668</v>
      </c>
    </row>
    <row r="140" spans="1:6" ht="15.75">
      <c r="A140" s="1" t="s">
        <v>48</v>
      </c>
      <c r="B140" s="9"/>
      <c r="C140" s="10"/>
      <c r="D140" s="9"/>
      <c r="F140" s="9">
        <v>25</v>
      </c>
    </row>
    <row r="141" spans="1:6" ht="15.75">
      <c r="A141" s="1" t="s">
        <v>47</v>
      </c>
      <c r="B141" s="9"/>
      <c r="C141" s="10">
        <v>0.97950000000000004</v>
      </c>
      <c r="D141" s="9">
        <v>3665.97</v>
      </c>
      <c r="F141" s="9">
        <v>1200</v>
      </c>
    </row>
    <row r="142" spans="1:6" ht="15.75">
      <c r="A142" s="1" t="s">
        <v>46</v>
      </c>
      <c r="B142" s="9"/>
      <c r="C142" s="10">
        <v>0.38</v>
      </c>
      <c r="D142" s="9">
        <f t="shared" ref="D142:D149" si="0">+C142*3003.44</f>
        <v>1141.3072</v>
      </c>
      <c r="F142" s="9">
        <v>0</v>
      </c>
    </row>
    <row r="143" spans="1:6" ht="15.75">
      <c r="A143" s="8" t="s">
        <v>45</v>
      </c>
      <c r="B143" s="9"/>
      <c r="C143" s="10">
        <v>0.23</v>
      </c>
      <c r="D143" s="9">
        <f t="shared" si="0"/>
        <v>690.7912</v>
      </c>
      <c r="F143" s="9">
        <v>126500</v>
      </c>
    </row>
    <row r="144" spans="1:6" ht="15.75">
      <c r="A144" s="8" t="s">
        <v>44</v>
      </c>
      <c r="B144" s="9"/>
      <c r="C144" s="10">
        <v>0.24</v>
      </c>
      <c r="D144" s="9">
        <f t="shared" si="0"/>
        <v>720.82560000000001</v>
      </c>
      <c r="F144" s="9">
        <v>135500</v>
      </c>
    </row>
    <row r="145" spans="1:6" ht="15.75">
      <c r="A145" s="8" t="s">
        <v>43</v>
      </c>
      <c r="B145" s="9"/>
      <c r="C145" s="10">
        <v>0.98</v>
      </c>
      <c r="D145" s="9">
        <f t="shared" si="0"/>
        <v>2943.3712</v>
      </c>
      <c r="F145" s="9">
        <v>0</v>
      </c>
    </row>
    <row r="146" spans="1:6" ht="15.75">
      <c r="A146" s="8" t="s">
        <v>42</v>
      </c>
      <c r="B146" s="9"/>
      <c r="C146" s="9">
        <v>10.7233</v>
      </c>
      <c r="D146" s="9">
        <f t="shared" si="0"/>
        <v>32206.788152000001</v>
      </c>
      <c r="F146" s="9">
        <v>0</v>
      </c>
    </row>
    <row r="147" spans="1:6" ht="15.75">
      <c r="A147" s="8" t="s">
        <v>41</v>
      </c>
      <c r="B147" s="9"/>
      <c r="C147" s="9">
        <v>2.11</v>
      </c>
      <c r="D147" s="9">
        <f t="shared" si="0"/>
        <v>6337.2583999999997</v>
      </c>
      <c r="F147" s="9">
        <v>0</v>
      </c>
    </row>
    <row r="148" spans="1:6" ht="15.75">
      <c r="A148" s="8" t="s">
        <v>40</v>
      </c>
      <c r="B148" s="9"/>
      <c r="C148" s="9">
        <v>2.11</v>
      </c>
      <c r="D148" s="9">
        <f t="shared" si="0"/>
        <v>6337.2583999999997</v>
      </c>
      <c r="F148" s="9">
        <v>96</v>
      </c>
    </row>
    <row r="149" spans="1:6" ht="15.75">
      <c r="A149" s="8" t="s">
        <v>39</v>
      </c>
      <c r="B149" s="9"/>
      <c r="C149" s="9">
        <v>14.84</v>
      </c>
      <c r="D149" s="9">
        <f t="shared" si="0"/>
        <v>44571.049599999998</v>
      </c>
      <c r="F149" s="9">
        <v>0</v>
      </c>
    </row>
    <row r="150" spans="1:6" ht="15.75">
      <c r="A150" s="1" t="s">
        <v>38</v>
      </c>
      <c r="B150" s="9"/>
      <c r="C150" s="34">
        <v>0.39</v>
      </c>
      <c r="D150" s="9">
        <v>1500</v>
      </c>
      <c r="F150" s="33">
        <v>19</v>
      </c>
    </row>
    <row r="151" spans="1:6" ht="15.75">
      <c r="A151" s="8" t="s">
        <v>37</v>
      </c>
      <c r="B151" s="9"/>
      <c r="C151" s="10">
        <v>0.79</v>
      </c>
      <c r="D151" s="9">
        <f>+C151*3003.44</f>
        <v>2372.7175999999999</v>
      </c>
    </row>
    <row r="152" spans="1:6" ht="15.75">
      <c r="A152" s="8" t="s">
        <v>36</v>
      </c>
      <c r="B152" s="9"/>
      <c r="C152" s="10">
        <v>0.79</v>
      </c>
      <c r="D152" s="9">
        <f>+C152*3003.44</f>
        <v>2372.7175999999999</v>
      </c>
    </row>
    <row r="153" spans="1:6" ht="15.75">
      <c r="A153" s="8" t="s">
        <v>35</v>
      </c>
      <c r="B153" s="9"/>
      <c r="C153" s="10">
        <v>0.65100000000000002</v>
      </c>
      <c r="D153" s="9">
        <v>2500</v>
      </c>
      <c r="F153" s="33">
        <v>44</v>
      </c>
    </row>
    <row r="154" spans="1:6" ht="15.75">
      <c r="A154" s="8" t="s">
        <v>34</v>
      </c>
      <c r="B154" s="9"/>
      <c r="C154" s="10">
        <v>1.4432</v>
      </c>
      <c r="D154" s="9">
        <f>+C154*3003.44</f>
        <v>4334.5646080000006</v>
      </c>
    </row>
    <row r="155" spans="1:6" ht="15.75">
      <c r="A155" s="8" t="s">
        <v>33</v>
      </c>
      <c r="B155" s="9"/>
      <c r="C155" s="10">
        <v>1.4778</v>
      </c>
      <c r="D155" s="9">
        <f>+C155*3003.44</f>
        <v>4438.4836320000004</v>
      </c>
      <c r="F155" s="33">
        <v>69</v>
      </c>
    </row>
    <row r="156" spans="1:6" ht="15.75">
      <c r="A156" s="8" t="s">
        <v>32</v>
      </c>
      <c r="B156" s="9"/>
      <c r="C156" s="10">
        <v>1.2941</v>
      </c>
      <c r="D156" s="9">
        <f>+C156*3116.46</f>
        <v>4033.010886</v>
      </c>
    </row>
    <row r="157" spans="1:6" ht="15.75">
      <c r="A157" s="8" t="s">
        <v>31</v>
      </c>
      <c r="B157" s="9"/>
      <c r="C157" s="10">
        <v>1.32</v>
      </c>
      <c r="D157" s="9">
        <f>+C157*3185.5</f>
        <v>4204.8600000000006</v>
      </c>
    </row>
    <row r="158" spans="1:6" ht="15.75">
      <c r="A158" s="8" t="s">
        <v>30</v>
      </c>
      <c r="B158" s="9"/>
      <c r="C158" s="10">
        <v>1.3687</v>
      </c>
      <c r="D158" s="9">
        <f>+C158*3116.46</f>
        <v>4265.4988020000001</v>
      </c>
      <c r="F158" s="33">
        <v>17</v>
      </c>
    </row>
    <row r="159" spans="1:6" ht="15.75">
      <c r="A159" s="8" t="s">
        <v>29</v>
      </c>
      <c r="B159" s="9"/>
      <c r="C159" s="10">
        <v>1.4177</v>
      </c>
      <c r="D159" s="9">
        <f>+C159*3116.46</f>
        <v>4418.2053420000002</v>
      </c>
      <c r="F159" s="33">
        <v>20</v>
      </c>
    </row>
    <row r="160" spans="1:6" ht="15.75">
      <c r="A160" s="8" t="s">
        <v>28</v>
      </c>
      <c r="B160" s="9"/>
      <c r="C160" s="10">
        <v>1.1046</v>
      </c>
      <c r="D160" s="9">
        <f>+C160*3116.46</f>
        <v>3442.4417160000003</v>
      </c>
    </row>
    <row r="161" spans="1:6" ht="15.75">
      <c r="A161" s="8" t="s">
        <v>27</v>
      </c>
      <c r="B161" s="9"/>
      <c r="C161" s="10">
        <v>1.1890000000000001</v>
      </c>
      <c r="D161" s="9">
        <v>4500</v>
      </c>
      <c r="F161" s="33">
        <v>90</v>
      </c>
    </row>
    <row r="162" spans="1:6" ht="15.75">
      <c r="A162" s="8" t="s">
        <v>26</v>
      </c>
      <c r="B162" s="9"/>
      <c r="C162" s="10">
        <v>1.4556</v>
      </c>
      <c r="D162" s="9">
        <f>+C162*3116.46</f>
        <v>4536.319176</v>
      </c>
    </row>
    <row r="163" spans="1:6" ht="15.75">
      <c r="A163" s="29" t="s">
        <v>25</v>
      </c>
      <c r="B163" s="9"/>
      <c r="C163" s="10">
        <v>1.2545999999999999</v>
      </c>
      <c r="D163" s="9">
        <f>+C163*3185.5</f>
        <v>3996.5282999999999</v>
      </c>
    </row>
    <row r="164" spans="1:6" ht="15.75">
      <c r="A164" s="1" t="s">
        <v>24</v>
      </c>
      <c r="B164" s="11"/>
      <c r="C164" s="10">
        <v>1.2545999999999999</v>
      </c>
      <c r="D164" s="9">
        <f>+C164*3185.5</f>
        <v>3996.5282999999999</v>
      </c>
    </row>
    <row r="165" spans="1:6" ht="15.75">
      <c r="A165" s="29" t="s">
        <v>23</v>
      </c>
      <c r="B165" s="11"/>
      <c r="C165" s="10">
        <v>1.347</v>
      </c>
      <c r="D165" s="9">
        <v>4351.28</v>
      </c>
      <c r="F165" s="33">
        <v>69</v>
      </c>
    </row>
    <row r="166" spans="1:6" ht="15.75">
      <c r="A166" s="29" t="s">
        <v>22</v>
      </c>
      <c r="B166" s="9"/>
      <c r="C166" s="10">
        <v>1.427</v>
      </c>
      <c r="D166" s="30">
        <v>5400</v>
      </c>
    </row>
    <row r="167" spans="1:6" ht="15.75">
      <c r="A167" s="8" t="s">
        <v>21</v>
      </c>
      <c r="B167" s="11"/>
      <c r="C167" s="10">
        <v>1.6456999999999999</v>
      </c>
      <c r="D167" s="9">
        <v>6000</v>
      </c>
    </row>
    <row r="168" spans="1:6" ht="15.75">
      <c r="A168" s="8" t="s">
        <v>20</v>
      </c>
      <c r="B168" s="9"/>
      <c r="C168" s="10">
        <v>1.8371999999999999</v>
      </c>
      <c r="D168" s="30">
        <v>7000</v>
      </c>
      <c r="F168" s="33">
        <v>5</v>
      </c>
    </row>
    <row r="169" spans="1:6" ht="15.75">
      <c r="A169" s="8" t="s">
        <v>19</v>
      </c>
      <c r="B169" s="9"/>
      <c r="C169" s="9">
        <v>36.979999999999997</v>
      </c>
      <c r="D169" s="9">
        <f>+C169*3003.44</f>
        <v>111067.21119999999</v>
      </c>
      <c r="F169" s="9">
        <v>7</v>
      </c>
    </row>
    <row r="170" spans="1:6" ht="15.75">
      <c r="A170" s="8" t="s">
        <v>18</v>
      </c>
      <c r="C170" s="9">
        <v>1.9100000000000001</v>
      </c>
      <c r="D170" s="9">
        <f>+C170*3003.44</f>
        <v>5736.5704000000005</v>
      </c>
      <c r="F170" s="9">
        <v>1000</v>
      </c>
    </row>
    <row r="171" spans="1:6" ht="15.75">
      <c r="A171" s="8" t="s">
        <v>17</v>
      </c>
      <c r="B171" s="9"/>
      <c r="C171" s="9">
        <v>1.18</v>
      </c>
      <c r="D171" s="9">
        <f>+C171*3033.44</f>
        <v>3579.4591999999998</v>
      </c>
      <c r="F171" s="9">
        <v>6675</v>
      </c>
    </row>
    <row r="172" spans="1:6" ht="15.75">
      <c r="A172" s="22" t="s">
        <v>16</v>
      </c>
      <c r="B172" s="31"/>
      <c r="C172" s="31">
        <v>2.0169999999999999</v>
      </c>
      <c r="D172" s="31">
        <v>7000</v>
      </c>
      <c r="F172" s="33">
        <v>75</v>
      </c>
    </row>
    <row r="173" spans="1:6" ht="15.75">
      <c r="A173" s="22" t="s">
        <v>15</v>
      </c>
      <c r="B173" s="31"/>
      <c r="C173" s="31">
        <v>115.2902</v>
      </c>
      <c r="D173" s="31">
        <f>+C173*3003.44</f>
        <v>346267.19828800001</v>
      </c>
      <c r="F173" s="33">
        <v>4</v>
      </c>
    </row>
    <row r="174" spans="1:6" ht="15.75">
      <c r="A174" s="22" t="s">
        <v>14</v>
      </c>
      <c r="B174" s="31"/>
      <c r="C174" s="31">
        <v>115.29</v>
      </c>
      <c r="D174" s="31">
        <f>+C174*3003.44</f>
        <v>346266.59760000004</v>
      </c>
      <c r="F174" s="33">
        <v>2</v>
      </c>
    </row>
    <row r="175" spans="1:6" ht="15.75">
      <c r="A175" s="22" t="s">
        <v>13</v>
      </c>
      <c r="B175" s="31"/>
      <c r="C175" s="31">
        <v>115.59010000000001</v>
      </c>
      <c r="D175" s="31">
        <f>+C175*3003.44</f>
        <v>347167.92994400003</v>
      </c>
      <c r="F175" s="33">
        <v>3</v>
      </c>
    </row>
    <row r="176" spans="1:6" ht="15.75">
      <c r="A176" s="22" t="s">
        <v>12</v>
      </c>
      <c r="B176" s="31"/>
      <c r="C176" s="31">
        <v>193.28</v>
      </c>
      <c r="D176" s="31">
        <v>618497.86</v>
      </c>
      <c r="F176" s="33">
        <v>15</v>
      </c>
    </row>
    <row r="177" spans="1:6" ht="15.75">
      <c r="A177" s="22" t="s">
        <v>11</v>
      </c>
      <c r="B177" s="31"/>
      <c r="C177" s="31">
        <v>0.9</v>
      </c>
      <c r="D177" s="31">
        <f>+C177*3140.44</f>
        <v>2826.3960000000002</v>
      </c>
      <c r="F177" s="33">
        <v>0</v>
      </c>
    </row>
    <row r="178" spans="1:6" ht="15.75">
      <c r="A178" s="22" t="s">
        <v>11</v>
      </c>
      <c r="B178" s="31"/>
      <c r="C178" s="31">
        <v>0.9</v>
      </c>
      <c r="D178" s="31">
        <f>+C178*3140.44</f>
        <v>2826.3960000000002</v>
      </c>
      <c r="F178" s="33">
        <v>210</v>
      </c>
    </row>
    <row r="179" spans="1:6" ht="15.75">
      <c r="A179" s="22" t="s">
        <v>10</v>
      </c>
      <c r="B179" s="31"/>
      <c r="C179" s="31">
        <v>0.91</v>
      </c>
      <c r="D179" s="31">
        <f>C179*3003.44</f>
        <v>2733.1304</v>
      </c>
      <c r="F179" s="33">
        <v>210</v>
      </c>
    </row>
    <row r="180" spans="1:6" ht="15.75">
      <c r="A180" s="22" t="s">
        <v>9</v>
      </c>
      <c r="B180" s="31"/>
      <c r="C180" s="31">
        <v>0.91</v>
      </c>
      <c r="D180" s="31">
        <f>C180*3003.44</f>
        <v>2733.1304</v>
      </c>
      <c r="F180" s="33">
        <v>209</v>
      </c>
    </row>
    <row r="181" spans="1:6" ht="15.75">
      <c r="A181" s="22" t="s">
        <v>8</v>
      </c>
      <c r="B181" s="31"/>
      <c r="C181" s="31">
        <v>0.91</v>
      </c>
      <c r="D181" s="31">
        <f>C181*3003.44</f>
        <v>2733.1304</v>
      </c>
    </row>
    <row r="182" spans="1:6" ht="15.75">
      <c r="A182" s="22" t="s">
        <v>7</v>
      </c>
      <c r="B182" s="31"/>
      <c r="C182" s="31">
        <v>0.91</v>
      </c>
      <c r="D182" s="31">
        <f>C182*3003.44</f>
        <v>2733.1304</v>
      </c>
      <c r="F182" s="33">
        <v>204</v>
      </c>
    </row>
    <row r="183" spans="1:6" ht="15.75">
      <c r="A183" s="22" t="s">
        <v>6</v>
      </c>
      <c r="B183" s="31"/>
      <c r="C183" s="31">
        <v>23.466799999999999</v>
      </c>
      <c r="D183" s="31">
        <v>72719.8</v>
      </c>
      <c r="F183" s="33">
        <v>42.7</v>
      </c>
    </row>
    <row r="184" spans="1:6" ht="15.75">
      <c r="A184" s="32" t="s">
        <v>5</v>
      </c>
      <c r="B184" s="31"/>
      <c r="C184" s="31"/>
      <c r="D184" s="31"/>
    </row>
    <row r="185" spans="1:6" ht="15.75">
      <c r="A185" s="32" t="s">
        <v>4</v>
      </c>
      <c r="B185" s="31"/>
      <c r="C185" s="31"/>
      <c r="D185" s="31"/>
      <c r="F185" s="33">
        <v>7</v>
      </c>
    </row>
    <row r="186" spans="1:6" ht="15.75">
      <c r="A186" s="32" t="s">
        <v>3</v>
      </c>
      <c r="B186" s="31"/>
      <c r="C186" s="31">
        <v>11.3065</v>
      </c>
      <c r="D186" s="31">
        <f>C186*3003.44</f>
        <v>33958.394359999998</v>
      </c>
      <c r="F186" s="33">
        <v>23</v>
      </c>
    </row>
    <row r="187" spans="1:6" ht="15.75">
      <c r="A187" s="22" t="s">
        <v>2</v>
      </c>
      <c r="B187" s="31"/>
      <c r="C187" s="31">
        <v>11.3065</v>
      </c>
      <c r="D187" s="31">
        <f>C187*3003.44</f>
        <v>33958.394359999998</v>
      </c>
      <c r="F187" s="33">
        <v>11</v>
      </c>
    </row>
    <row r="188" spans="1:6" ht="15.75">
      <c r="A188" s="22" t="s">
        <v>1</v>
      </c>
      <c r="B188" s="31"/>
      <c r="C188" s="31">
        <v>0.89990000000000003</v>
      </c>
      <c r="D188" s="31">
        <f>C188*3003.44</f>
        <v>2702.7956560000002</v>
      </c>
      <c r="F188" s="33">
        <v>1007</v>
      </c>
    </row>
    <row r="189" spans="1:6" ht="15.75">
      <c r="A189" s="22" t="s">
        <v>0</v>
      </c>
      <c r="B189" s="31"/>
      <c r="C189" s="31">
        <v>1.0900000000000001</v>
      </c>
      <c r="D189" s="31">
        <f>C189*3003.44</f>
        <v>3273.7496000000001</v>
      </c>
      <c r="F189" s="33">
        <v>134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MATIERE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2021-09-29T15:20:04Z</dcterms:created>
  <dcterms:modified xsi:type="dcterms:W3CDTF">2021-11-04T11:10:33Z</dcterms:modified>
</cp:coreProperties>
</file>