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600" windowHeight="9030"/>
  </bookViews>
  <sheets>
    <sheet name="Feuil1" sheetId="1" r:id="rId1"/>
  </sheets>
  <definedNames>
    <definedName name="_xlnm._FilterDatabase" localSheetId="0" hidden="1">Feuil1!$A$1:$C$134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4" i="1" l="1"/>
  <c r="B103" i="1"/>
  <c r="B102" i="1"/>
  <c r="B101" i="1"/>
  <c r="B100" i="1"/>
  <c r="B99" i="1"/>
  <c r="B98" i="1"/>
  <c r="B97" i="1"/>
  <c r="B96" i="1"/>
  <c r="B95" i="1"/>
  <c r="B93" i="1"/>
  <c r="B92" i="1"/>
  <c r="B84" i="1"/>
  <c r="B79" i="1"/>
  <c r="B78" i="1"/>
  <c r="B73" i="1"/>
  <c r="B68" i="1"/>
  <c r="B62" i="1"/>
  <c r="B59" i="1"/>
  <c r="B48" i="1"/>
  <c r="B47" i="1"/>
  <c r="B38" i="1"/>
  <c r="B36" i="1"/>
  <c r="B35" i="1"/>
  <c r="B34" i="1"/>
  <c r="B33" i="1"/>
  <c r="B32" i="1"/>
  <c r="B31" i="1"/>
  <c r="B29" i="1"/>
  <c r="B25" i="1"/>
  <c r="B23" i="1"/>
  <c r="B21" i="1"/>
  <c r="B20" i="1"/>
  <c r="B19" i="1"/>
  <c r="B17" i="1"/>
  <c r="B14" i="1"/>
  <c r="B6" i="1"/>
  <c r="B5" i="1"/>
  <c r="B3" i="1"/>
  <c r="B2" i="1"/>
</calcChain>
</file>

<file path=xl/sharedStrings.xml><?xml version="1.0" encoding="utf-8"?>
<sst xmlns="http://schemas.openxmlformats.org/spreadsheetml/2006/main" count="1378" uniqueCount="1235">
  <si>
    <t>PO</t>
  </si>
  <si>
    <t>PP9534</t>
  </si>
  <si>
    <t>PP9533</t>
  </si>
  <si>
    <t>PP9566</t>
  </si>
  <si>
    <t>PP9567</t>
  </si>
  <si>
    <t>PP9555</t>
  </si>
  <si>
    <t>PP9556</t>
  </si>
  <si>
    <t>PE45576</t>
  </si>
  <si>
    <t>PE45574</t>
  </si>
  <si>
    <t>PE45614</t>
  </si>
  <si>
    <t>PE45575</t>
  </si>
  <si>
    <t>PE45483</t>
  </si>
  <si>
    <t>PP9548</t>
  </si>
  <si>
    <t>PE10450</t>
  </si>
  <si>
    <t>PE45669</t>
  </si>
  <si>
    <t>PE45457</t>
  </si>
  <si>
    <t>PE10270</t>
  </si>
  <si>
    <t>PE10449</t>
  </si>
  <si>
    <t>PE45740</t>
  </si>
  <si>
    <t>PE45739</t>
  </si>
  <si>
    <t>PE45741</t>
  </si>
  <si>
    <t>PE45450</t>
  </si>
  <si>
    <t>PE45506</t>
  </si>
  <si>
    <t>PE45456</t>
  </si>
  <si>
    <t>PP9561</t>
  </si>
  <si>
    <t>XL</t>
  </si>
  <si>
    <t>XXL</t>
  </si>
  <si>
    <t>M</t>
  </si>
  <si>
    <t>S</t>
  </si>
  <si>
    <t>PP1027</t>
  </si>
  <si>
    <t>PP1047</t>
  </si>
  <si>
    <t>PP1026</t>
  </si>
  <si>
    <t>PE10534</t>
  </si>
  <si>
    <t>PE44240</t>
  </si>
  <si>
    <t>PE44131</t>
  </si>
  <si>
    <t>PE45123</t>
  </si>
  <si>
    <t>PE45110</t>
  </si>
  <si>
    <t>PE44337</t>
  </si>
  <si>
    <t>PE44132</t>
  </si>
  <si>
    <t>PE44345</t>
  </si>
  <si>
    <t>PE44278</t>
  </si>
  <si>
    <t>PE44361</t>
  </si>
  <si>
    <t>PE45055</t>
  </si>
  <si>
    <t>PE6020C</t>
  </si>
  <si>
    <t>PE45203</t>
  </si>
  <si>
    <t>PE44055</t>
  </si>
  <si>
    <t>PE44197</t>
  </si>
  <si>
    <t>PE6033C</t>
  </si>
  <si>
    <t>PE5992</t>
  </si>
  <si>
    <t>PE45388</t>
  </si>
  <si>
    <t>PE6004C</t>
  </si>
  <si>
    <t>PE44268</t>
  </si>
  <si>
    <t>PE6018C</t>
  </si>
  <si>
    <t>PE44557</t>
  </si>
  <si>
    <t>PE5998C</t>
  </si>
  <si>
    <t>PE44098</t>
  </si>
  <si>
    <t>PE6024C</t>
  </si>
  <si>
    <t>PE6025C</t>
  </si>
  <si>
    <t>PE5997C</t>
  </si>
  <si>
    <t>PE6035C</t>
  </si>
  <si>
    <t>PE6039C</t>
  </si>
  <si>
    <t>PE6038C</t>
  </si>
  <si>
    <t>PE6034C</t>
  </si>
  <si>
    <t>PE6040C</t>
  </si>
  <si>
    <t>PE6036C</t>
  </si>
  <si>
    <t>PE45020</t>
  </si>
  <si>
    <t>PE45297CM</t>
  </si>
  <si>
    <t>QTE</t>
  </si>
  <si>
    <t>TAIILLE</t>
  </si>
  <si>
    <t>PE10435M</t>
  </si>
  <si>
    <t>PP1077M</t>
  </si>
  <si>
    <t>L</t>
  </si>
  <si>
    <t>PP1070M</t>
  </si>
  <si>
    <t>PE10533M</t>
  </si>
  <si>
    <t>PE45208CM</t>
  </si>
  <si>
    <t>PE45165CM</t>
  </si>
  <si>
    <t>PE45202CM</t>
  </si>
  <si>
    <t>PE45111CM</t>
  </si>
  <si>
    <t>PE45174CM</t>
  </si>
  <si>
    <t>PE45280CM</t>
  </si>
  <si>
    <t>PE45267CM</t>
  </si>
  <si>
    <t>PE45286CM</t>
  </si>
  <si>
    <t>PE 38919</t>
  </si>
  <si>
    <t>PE 37925</t>
  </si>
  <si>
    <t>PE 41222</t>
  </si>
  <si>
    <t>PE44909CM</t>
  </si>
  <si>
    <t>PE45190CM</t>
  </si>
  <si>
    <t>PE45512CM</t>
  </si>
  <si>
    <t>PE45209CM</t>
  </si>
  <si>
    <t>PE45177CM</t>
  </si>
  <si>
    <t>PE45401CM</t>
  </si>
  <si>
    <t>PE45367CM</t>
  </si>
  <si>
    <t>PE45681CM</t>
  </si>
  <si>
    <t>PE45436CM</t>
  </si>
  <si>
    <t>PE45270CM</t>
  </si>
  <si>
    <t>PE45199CM</t>
  </si>
  <si>
    <t>PE45281CM</t>
  </si>
  <si>
    <t>PE45325CM</t>
  </si>
  <si>
    <t>PE45033</t>
  </si>
  <si>
    <t>PE45022CM</t>
  </si>
  <si>
    <t>PE45142CM</t>
  </si>
  <si>
    <t>PE6014C</t>
  </si>
  <si>
    <t>PE45158CM</t>
  </si>
  <si>
    <t>PE 41323</t>
  </si>
  <si>
    <t>PE45557CM</t>
  </si>
  <si>
    <t>PP441C</t>
  </si>
  <si>
    <t>PE45368CM</t>
  </si>
  <si>
    <t>PE5993</t>
  </si>
  <si>
    <t>PE44581</t>
  </si>
  <si>
    <t>PE44582</t>
  </si>
  <si>
    <t>PE44653</t>
  </si>
  <si>
    <t>PE44065</t>
  </si>
  <si>
    <t>PE44639</t>
  </si>
  <si>
    <t>PP9437</t>
  </si>
  <si>
    <t>PE44699</t>
  </si>
  <si>
    <t>PE44332</t>
  </si>
  <si>
    <t>PE44674</t>
  </si>
  <si>
    <t>PE44644</t>
  </si>
  <si>
    <t>PE10093M</t>
  </si>
  <si>
    <t>PE10097M</t>
  </si>
  <si>
    <t>PP9438</t>
  </si>
  <si>
    <t>PE44732</t>
  </si>
  <si>
    <t>PE44611</t>
  </si>
  <si>
    <t>PE44638</t>
  </si>
  <si>
    <t>28/71</t>
  </si>
  <si>
    <t>29/74</t>
  </si>
  <si>
    <t>30/76</t>
  </si>
  <si>
    <t>PE44657</t>
  </si>
  <si>
    <t>27/69</t>
  </si>
  <si>
    <t>PE10109</t>
  </si>
  <si>
    <t>PE10108M</t>
  </si>
  <si>
    <t>PP9455</t>
  </si>
  <si>
    <t>PE5977</t>
  </si>
  <si>
    <t>PE44763</t>
  </si>
  <si>
    <t>PE10113</t>
  </si>
  <si>
    <t>XS</t>
  </si>
  <si>
    <t>PE44620</t>
  </si>
  <si>
    <t>XXS</t>
  </si>
  <si>
    <t>PE44612</t>
  </si>
  <si>
    <t>PE44613</t>
  </si>
  <si>
    <t>PE44614</t>
  </si>
  <si>
    <t>PE44615</t>
  </si>
  <si>
    <t>PE44616</t>
  </si>
  <si>
    <t>PE44617</t>
  </si>
  <si>
    <t>PE44618</t>
  </si>
  <si>
    <t>PE44619</t>
  </si>
  <si>
    <t>PE44621</t>
  </si>
  <si>
    <t>PE44622</t>
  </si>
  <si>
    <t>PE44623</t>
  </si>
  <si>
    <t>PE44624</t>
  </si>
  <si>
    <t>PE44625</t>
  </si>
  <si>
    <t>PE44626</t>
  </si>
  <si>
    <t>PE44627</t>
  </si>
  <si>
    <t>PE44628</t>
  </si>
  <si>
    <t>PE44629</t>
  </si>
  <si>
    <t>PE44630</t>
  </si>
  <si>
    <t>PE44631</t>
  </si>
  <si>
    <t>PE44632</t>
  </si>
  <si>
    <t>PE44633</t>
  </si>
  <si>
    <t>PE44634</t>
  </si>
  <si>
    <t>PE44635</t>
  </si>
  <si>
    <t>PE44636</t>
  </si>
  <si>
    <t>PE44637</t>
  </si>
  <si>
    <t>31/79</t>
  </si>
  <si>
    <t>32/81</t>
  </si>
  <si>
    <t>33/84</t>
  </si>
  <si>
    <t>34/87</t>
  </si>
  <si>
    <t>36/92</t>
  </si>
  <si>
    <t>38/97</t>
  </si>
  <si>
    <t>40/102</t>
  </si>
  <si>
    <t>PE10104M</t>
  </si>
  <si>
    <t>PE10105M</t>
  </si>
  <si>
    <t>PE44778</t>
  </si>
  <si>
    <t>PE44765</t>
  </si>
  <si>
    <t>PE44103</t>
  </si>
  <si>
    <t>PP9451</t>
  </si>
  <si>
    <t>PP9452</t>
  </si>
  <si>
    <t>PE5976</t>
  </si>
  <si>
    <t>PE44665</t>
  </si>
  <si>
    <t>PE44645</t>
  </si>
  <si>
    <t>PE10106</t>
  </si>
  <si>
    <t>PE10098M</t>
  </si>
  <si>
    <t>PE44775</t>
  </si>
  <si>
    <t>PE44774</t>
  </si>
  <si>
    <t>PE44757</t>
  </si>
  <si>
    <t>PE44766</t>
  </si>
  <si>
    <t>PE10120M</t>
  </si>
  <si>
    <t>PE10107</t>
  </si>
  <si>
    <t>PE5975</t>
  </si>
  <si>
    <t>PE5974</t>
  </si>
  <si>
    <t>PE44719</t>
  </si>
  <si>
    <t>PE44764</t>
  </si>
  <si>
    <t>PP9447</t>
  </si>
  <si>
    <t>PE10121</t>
  </si>
  <si>
    <t>PE44750</t>
  </si>
  <si>
    <t>PE44666</t>
  </si>
  <si>
    <t>PE44779</t>
  </si>
  <si>
    <t>PE44771</t>
  </si>
  <si>
    <t>PE44770</t>
  </si>
  <si>
    <t>PE44776</t>
  </si>
  <si>
    <t>T/44</t>
  </si>
  <si>
    <t>PP9450</t>
  </si>
  <si>
    <t>PE44736</t>
  </si>
  <si>
    <t>PE44713</t>
  </si>
  <si>
    <t>PE44762</t>
  </si>
  <si>
    <t>PE44567</t>
  </si>
  <si>
    <t>PE44756</t>
  </si>
  <si>
    <t>PE44777</t>
  </si>
  <si>
    <t>PE10099M</t>
  </si>
  <si>
    <t>PE10100M</t>
  </si>
  <si>
    <t>PE44768</t>
  </si>
  <si>
    <t>PE10119</t>
  </si>
  <si>
    <t>PE10118M</t>
  </si>
  <si>
    <t>PE44745</t>
  </si>
  <si>
    <t>PE44572</t>
  </si>
  <si>
    <t>PE44837</t>
  </si>
  <si>
    <t>PE44853</t>
  </si>
  <si>
    <t>PP9459</t>
  </si>
  <si>
    <t>PE44816</t>
  </si>
  <si>
    <t>PE44849</t>
  </si>
  <si>
    <t>PE44787</t>
  </si>
  <si>
    <t>PP9458</t>
  </si>
  <si>
    <t>PP9457</t>
  </si>
  <si>
    <t>PE44861</t>
  </si>
  <si>
    <t>PE44856</t>
  </si>
  <si>
    <t>PE44795</t>
  </si>
  <si>
    <t>PE44796</t>
  </si>
  <si>
    <t>PE44863</t>
  </si>
  <si>
    <t>PE44821</t>
  </si>
  <si>
    <t>PE44735</t>
  </si>
  <si>
    <t>PE44809</t>
  </si>
  <si>
    <t>PE44804</t>
  </si>
  <si>
    <t>PE44807</t>
  </si>
  <si>
    <t>PE44823</t>
  </si>
  <si>
    <t>PE44857</t>
  </si>
  <si>
    <t>46/117</t>
  </si>
  <si>
    <t>44/112</t>
  </si>
  <si>
    <t>PE44729</t>
  </si>
  <si>
    <t>PE44730</t>
  </si>
  <si>
    <t>PE44859</t>
  </si>
  <si>
    <t>PE44858</t>
  </si>
  <si>
    <t>PE44815</t>
  </si>
  <si>
    <t>PE44811</t>
  </si>
  <si>
    <t>PE44784</t>
  </si>
  <si>
    <t>PE44867</t>
  </si>
  <si>
    <t>PE44866</t>
  </si>
  <si>
    <t>PP9466</t>
  </si>
  <si>
    <t>PP9463</t>
  </si>
  <si>
    <t>PE44855</t>
  </si>
  <si>
    <t>PE44860</t>
  </si>
  <si>
    <t>PE44848</t>
  </si>
  <si>
    <t>PE44805</t>
  </si>
  <si>
    <t>PE44864</t>
  </si>
  <si>
    <t>PE44801</t>
  </si>
  <si>
    <t>PP9467</t>
  </si>
  <si>
    <t>PE10184</t>
  </si>
  <si>
    <t>PE44176</t>
  </si>
  <si>
    <t>PE44230</t>
  </si>
  <si>
    <t>PE44365</t>
  </si>
  <si>
    <t>PE10179M</t>
  </si>
  <si>
    <t>PE10141</t>
  </si>
  <si>
    <t>PE44835</t>
  </si>
  <si>
    <t>PE44802</t>
  </si>
  <si>
    <t>PE44806</t>
  </si>
  <si>
    <t>PE44808</t>
  </si>
  <si>
    <t>PE44890</t>
  </si>
  <si>
    <t>PE44854</t>
  </si>
  <si>
    <t>T/S</t>
  </si>
  <si>
    <t>T/XXL</t>
  </si>
  <si>
    <t>T/XL</t>
  </si>
  <si>
    <t>T/M</t>
  </si>
  <si>
    <t>TL</t>
  </si>
  <si>
    <t>PE44882</t>
  </si>
  <si>
    <t>PE44836</t>
  </si>
  <si>
    <t>PE44891</t>
  </si>
  <si>
    <t>PE44892</t>
  </si>
  <si>
    <t>PE44893</t>
  </si>
  <si>
    <t>PE44568</t>
  </si>
  <si>
    <t>PE44569</t>
  </si>
  <si>
    <t>PE44803</t>
  </si>
  <si>
    <t>PE44852</t>
  </si>
  <si>
    <t>PP9469</t>
  </si>
  <si>
    <t>PP9470</t>
  </si>
  <si>
    <t>PP9460</t>
  </si>
  <si>
    <t>PE10185</t>
  </si>
  <si>
    <t>PE44897</t>
  </si>
  <si>
    <t>PE44896</t>
  </si>
  <si>
    <t>PE44708</t>
  </si>
  <si>
    <t>PE44900</t>
  </si>
  <si>
    <t>PE44898</t>
  </si>
  <si>
    <t>PE10181M</t>
  </si>
  <si>
    <t>PE10182</t>
  </si>
  <si>
    <t>PE44910</t>
  </si>
  <si>
    <t>PE44911</t>
  </si>
  <si>
    <t>PE44913</t>
  </si>
  <si>
    <t>PE44799</t>
  </si>
  <si>
    <t>PE44881</t>
  </si>
  <si>
    <t>PP9478</t>
  </si>
  <si>
    <t>PE44901</t>
  </si>
  <si>
    <t>PE44914</t>
  </si>
  <si>
    <t>PE44683</t>
  </si>
  <si>
    <t>PE44887</t>
  </si>
  <si>
    <t>PP9481</t>
  </si>
  <si>
    <t>PE44925</t>
  </si>
  <si>
    <t>PE44916</t>
  </si>
  <si>
    <t>PE44924</t>
  </si>
  <si>
    <t>PE44915</t>
  </si>
  <si>
    <t>PE44905</t>
  </si>
  <si>
    <t>PE44919</t>
  </si>
  <si>
    <t>PE44922</t>
  </si>
  <si>
    <t>PE44920</t>
  </si>
  <si>
    <t>PE44921</t>
  </si>
  <si>
    <t>PP9475</t>
  </si>
  <si>
    <t>PP9473</t>
  </si>
  <si>
    <t>PP9479</t>
  </si>
  <si>
    <t>PP9474</t>
  </si>
  <si>
    <t>PE44923</t>
  </si>
  <si>
    <t>PE44926</t>
  </si>
  <si>
    <t>PE44912</t>
  </si>
  <si>
    <t>PE44903</t>
  </si>
  <si>
    <t>PE44904</t>
  </si>
  <si>
    <t>PE44939</t>
  </si>
  <si>
    <t>PP9484</t>
  </si>
  <si>
    <t>PP9485</t>
  </si>
  <si>
    <t>PE44938</t>
  </si>
  <si>
    <t>PE44917</t>
  </si>
  <si>
    <t>PE44851</t>
  </si>
  <si>
    <t>PE44955</t>
  </si>
  <si>
    <t>PE44950</t>
  </si>
  <si>
    <t>PE44962</t>
  </si>
  <si>
    <t>PP9477</t>
  </si>
  <si>
    <t>PE44949</t>
  </si>
  <si>
    <t>JUSTINE</t>
  </si>
  <si>
    <t>PE5988</t>
  </si>
  <si>
    <t>PE5989C</t>
  </si>
  <si>
    <t>PE44978</t>
  </si>
  <si>
    <t>PE44706M</t>
  </si>
  <si>
    <t>PP9488</t>
  </si>
  <si>
    <t>PP442C</t>
  </si>
  <si>
    <t>PE44953</t>
  </si>
  <si>
    <t>PE44967</t>
  </si>
  <si>
    <t>PE44981</t>
  </si>
  <si>
    <t>PE44952</t>
  </si>
  <si>
    <t>PE44932CM</t>
  </si>
  <si>
    <t>PE44941</t>
  </si>
  <si>
    <t>PE44975</t>
  </si>
  <si>
    <t>PP9486</t>
  </si>
  <si>
    <t>PE44982</t>
  </si>
  <si>
    <t>PE44986</t>
  </si>
  <si>
    <t>PE44985</t>
  </si>
  <si>
    <t>PE44989</t>
  </si>
  <si>
    <t>PE44988</t>
  </si>
  <si>
    <t>PE44987</t>
  </si>
  <si>
    <t>PE44993CM</t>
  </si>
  <si>
    <t>PE44996</t>
  </si>
  <si>
    <t>PE44998</t>
  </si>
  <si>
    <t>PE44997</t>
  </si>
  <si>
    <t>PE44990</t>
  </si>
  <si>
    <t>PE44991</t>
  </si>
  <si>
    <t>PE45000</t>
  </si>
  <si>
    <t>PE44999</t>
  </si>
  <si>
    <t>PE45025</t>
  </si>
  <si>
    <t>PE45002</t>
  </si>
  <si>
    <t>PP9487</t>
  </si>
  <si>
    <t>PP9491</t>
  </si>
  <si>
    <t>PE45006</t>
  </si>
  <si>
    <t>PE44595</t>
  </si>
  <si>
    <t>PE44928</t>
  </si>
  <si>
    <t>PE44971</t>
  </si>
  <si>
    <t>PE44918</t>
  </si>
  <si>
    <t>PE44937CM</t>
  </si>
  <si>
    <t>PP9492</t>
  </si>
  <si>
    <t>PP9497</t>
  </si>
  <si>
    <t>PE44976</t>
  </si>
  <si>
    <t>PE44793</t>
  </si>
  <si>
    <t>PE44959CM</t>
  </si>
  <si>
    <t>PE44995</t>
  </si>
  <si>
    <t>PE45008</t>
  </si>
  <si>
    <t>PE44280</t>
  </si>
  <si>
    <t>PE44945</t>
  </si>
  <si>
    <t>PE45023</t>
  </si>
  <si>
    <t>PE45063</t>
  </si>
  <si>
    <t>PE45062</t>
  </si>
  <si>
    <t>PE5994</t>
  </si>
  <si>
    <t>PE45044</t>
  </si>
  <si>
    <t>PE45045</t>
  </si>
  <si>
    <t>PE45043</t>
  </si>
  <si>
    <t>PE44973CM</t>
  </si>
  <si>
    <t>PE45010</t>
  </si>
  <si>
    <t>PE45009</t>
  </si>
  <si>
    <t>PE44931</t>
  </si>
  <si>
    <t>PE44839</t>
  </si>
  <si>
    <t>PE45013</t>
  </si>
  <si>
    <t>PE45056</t>
  </si>
  <si>
    <t>PE45052</t>
  </si>
  <si>
    <t>PE44930</t>
  </si>
  <si>
    <t>PE44640</t>
  </si>
  <si>
    <t>PE45011</t>
  </si>
  <si>
    <t>PE45012</t>
  </si>
  <si>
    <t>PE45026</t>
  </si>
  <si>
    <t>PE45058</t>
  </si>
  <si>
    <t>PE45059</t>
  </si>
  <si>
    <t>PE45040</t>
  </si>
  <si>
    <t>PE45053</t>
  </si>
  <si>
    <t>PE44813</t>
  </si>
  <si>
    <t>PE45042</t>
  </si>
  <si>
    <t>PE45057</t>
  </si>
  <si>
    <t>PE44232</t>
  </si>
  <si>
    <t>PE44933CM</t>
  </si>
  <si>
    <t>PE44810</t>
  </si>
  <si>
    <t>PE44536CM</t>
  </si>
  <si>
    <t>PE44902</t>
  </si>
  <si>
    <t>PE44242</t>
  </si>
  <si>
    <t>PE44218</t>
  </si>
  <si>
    <t>PE44929</t>
  </si>
  <si>
    <t>PE44840</t>
  </si>
  <si>
    <t>PE44841</t>
  </si>
  <si>
    <t>PE44842</t>
  </si>
  <si>
    <t>PE44843</t>
  </si>
  <si>
    <t>PE44844</t>
  </si>
  <si>
    <t>PE44845</t>
  </si>
  <si>
    <t>PE44846</t>
  </si>
  <si>
    <t>PE45039</t>
  </si>
  <si>
    <t>PE45027</t>
  </si>
  <si>
    <t>PP9490</t>
  </si>
  <si>
    <t>PP9472</t>
  </si>
  <si>
    <t>PE44192</t>
  </si>
  <si>
    <t>PE44934CM</t>
  </si>
  <si>
    <t>PE44243</t>
  </si>
  <si>
    <t>PE45029</t>
  </si>
  <si>
    <t>PE45041</t>
  </si>
  <si>
    <t>PE45021</t>
  </si>
  <si>
    <t>PE45035</t>
  </si>
  <si>
    <t>PE45036</t>
  </si>
  <si>
    <t>PE45038</t>
  </si>
  <si>
    <t>PP9498</t>
  </si>
  <si>
    <t>PE45030</t>
  </si>
  <si>
    <t>PP9476</t>
  </si>
  <si>
    <t>PP9499</t>
  </si>
  <si>
    <t>PE45051</t>
  </si>
  <si>
    <t>PE44282</t>
  </si>
  <si>
    <t>PE45005</t>
  </si>
  <si>
    <t>PE45080</t>
  </si>
  <si>
    <t>PE45089</t>
  </si>
  <si>
    <t>PE44335</t>
  </si>
  <si>
    <t>PE44281</t>
  </si>
  <si>
    <t>PE45088</t>
  </si>
  <si>
    <t>PE45067</t>
  </si>
  <si>
    <t>PE45028</t>
  </si>
  <si>
    <t>PE45068</t>
  </si>
  <si>
    <t>PE45024</t>
  </si>
  <si>
    <t>PE45066</t>
  </si>
  <si>
    <t>PE45100</t>
  </si>
  <si>
    <t>PE45099</t>
  </si>
  <si>
    <t>PE45098</t>
  </si>
  <si>
    <t>PE45131</t>
  </si>
  <si>
    <t>PE45037</t>
  </si>
  <si>
    <t>PE45091</t>
  </si>
  <si>
    <t>PE44935CM</t>
  </si>
  <si>
    <t>PE44979</t>
  </si>
  <si>
    <t>PE44977</t>
  </si>
  <si>
    <t>PE44970</t>
  </si>
  <si>
    <t>PE44847</t>
  </si>
  <si>
    <t>PE44965</t>
  </si>
  <si>
    <t>PE44964</t>
  </si>
  <si>
    <t>PE44963</t>
  </si>
  <si>
    <t>PE44961</t>
  </si>
  <si>
    <t>PE44820</t>
  </si>
  <si>
    <t>PE44936CM</t>
  </si>
  <si>
    <t>PE44946</t>
  </si>
  <si>
    <t>PE44948</t>
  </si>
  <si>
    <t>PE44944</t>
  </si>
  <si>
    <t>PE44822</t>
  </si>
  <si>
    <t>PE44956</t>
  </si>
  <si>
    <t>PE44954</t>
  </si>
  <si>
    <t>PE44825</t>
  </si>
  <si>
    <t>PE44826</t>
  </si>
  <si>
    <t>PE44827</t>
  </si>
  <si>
    <t>PE44828</t>
  </si>
  <si>
    <t>PE44832</t>
  </si>
  <si>
    <t>PE45092</t>
  </si>
  <si>
    <t>PE44833</t>
  </si>
  <si>
    <t>PE44942</t>
  </si>
  <si>
    <t>PE45119</t>
  </si>
  <si>
    <t>PE45017CM</t>
  </si>
  <si>
    <t>PE44838</t>
  </si>
  <si>
    <t>PE45133</t>
  </si>
  <si>
    <t>PE45107</t>
  </si>
  <si>
    <t>PE44269</t>
  </si>
  <si>
    <t>PE44374</t>
  </si>
  <si>
    <t>PE44940</t>
  </si>
  <si>
    <t>PE44241</t>
  </si>
  <si>
    <t>PE45130</t>
  </si>
  <si>
    <t>PE45129</t>
  </si>
  <si>
    <t>PE44865</t>
  </si>
  <si>
    <t>PE44862</t>
  </si>
  <si>
    <t>PE45007</t>
  </si>
  <si>
    <t>PE45004</t>
  </si>
  <si>
    <t>PE45003</t>
  </si>
  <si>
    <t>PE45001</t>
  </si>
  <si>
    <t>PE45095</t>
  </si>
  <si>
    <t>PE44994</t>
  </si>
  <si>
    <t>PE45134</t>
  </si>
  <si>
    <t>PE45064</t>
  </si>
  <si>
    <t>PE44797</t>
  </si>
  <si>
    <t>PE44707</t>
  </si>
  <si>
    <t>PE45049</t>
  </si>
  <si>
    <t>PE45075</t>
  </si>
  <si>
    <t>PE44680</t>
  </si>
  <si>
    <t>PE45079</t>
  </si>
  <si>
    <t>PE6008C</t>
  </si>
  <si>
    <t>HDPE6008C</t>
  </si>
  <si>
    <t>PE45122</t>
  </si>
  <si>
    <t>PE44785</t>
  </si>
  <si>
    <t>PE45127</t>
  </si>
  <si>
    <t>PE5990</t>
  </si>
  <si>
    <t>PE44880</t>
  </si>
  <si>
    <t>PE44734</t>
  </si>
  <si>
    <t>PE44884</t>
  </si>
  <si>
    <t>PE44885</t>
  </si>
  <si>
    <t>PE44727</t>
  </si>
  <si>
    <t>PE44726</t>
  </si>
  <si>
    <t>PE44883</t>
  </si>
  <si>
    <t>PE44788</t>
  </si>
  <si>
    <t>PE44889</t>
  </si>
  <si>
    <t>PE44798</t>
  </si>
  <si>
    <t>PE44888</t>
  </si>
  <si>
    <t>PE45121</t>
  </si>
  <si>
    <t>PE45101</t>
  </si>
  <si>
    <t>PE45136</t>
  </si>
  <si>
    <t>PE45125</t>
  </si>
  <si>
    <t>PE45077</t>
  </si>
  <si>
    <t>PE45076</t>
  </si>
  <si>
    <t>PE45078</t>
  </si>
  <si>
    <t>PE45071</t>
  </si>
  <si>
    <t>PE44819</t>
  </si>
  <si>
    <t>PE44334</t>
  </si>
  <si>
    <t>PE44344</t>
  </si>
  <si>
    <t>PE44315</t>
  </si>
  <si>
    <t>PE44369</t>
  </si>
  <si>
    <t>PE5982C</t>
  </si>
  <si>
    <t>HDPE5982C</t>
  </si>
  <si>
    <t>PE5999C</t>
  </si>
  <si>
    <t>PE10306</t>
  </si>
  <si>
    <t>PE45124</t>
  </si>
  <si>
    <t>PE45060</t>
  </si>
  <si>
    <t>PE45061</t>
  </si>
  <si>
    <t>PE45126</t>
  </si>
  <si>
    <t>PE5986</t>
  </si>
  <si>
    <t>PE45102</t>
  </si>
  <si>
    <t>PE45094</t>
  </si>
  <si>
    <t>PE45132</t>
  </si>
  <si>
    <t>PE45084</t>
  </si>
  <si>
    <t>PE45096</t>
  </si>
  <si>
    <t>PE45093</t>
  </si>
  <si>
    <t>PE5984</t>
  </si>
  <si>
    <t>PE45074</t>
  </si>
  <si>
    <t>PE45072</t>
  </si>
  <si>
    <t>PE45073</t>
  </si>
  <si>
    <t>PE5983</t>
  </si>
  <si>
    <t>PE6000C</t>
  </si>
  <si>
    <t>PE44869</t>
  </si>
  <si>
    <t>PE44870</t>
  </si>
  <si>
    <t>PE44871</t>
  </si>
  <si>
    <t>PE44872</t>
  </si>
  <si>
    <t>PE44873</t>
  </si>
  <si>
    <t>PE44874</t>
  </si>
  <si>
    <t>PE44875</t>
  </si>
  <si>
    <t>PE44876</t>
  </si>
  <si>
    <t>PE44877</t>
  </si>
  <si>
    <t>PE44878</t>
  </si>
  <si>
    <t>PE44879</t>
  </si>
  <si>
    <t>PE45047</t>
  </si>
  <si>
    <t>PE45048</t>
  </si>
  <si>
    <t>PE45097</t>
  </si>
  <si>
    <t>PE45070</t>
  </si>
  <si>
    <t>PE45087</t>
  </si>
  <si>
    <t>PE44689CM</t>
  </si>
  <si>
    <t>PE45085</t>
  </si>
  <si>
    <t>PE10122</t>
  </si>
  <si>
    <t>PE10128</t>
  </si>
  <si>
    <t>PE10129</t>
  </si>
  <si>
    <t>PE10133</t>
  </si>
  <si>
    <t>PE10134</t>
  </si>
  <si>
    <t>PE10135</t>
  </si>
  <si>
    <t>PE10143M</t>
  </si>
  <si>
    <t>PE10144M</t>
  </si>
  <si>
    <t>PE10145M</t>
  </si>
  <si>
    <t>PE10146</t>
  </si>
  <si>
    <t>PE10147M</t>
  </si>
  <si>
    <t>PE10148</t>
  </si>
  <si>
    <t>PE10150</t>
  </si>
  <si>
    <t>PE10151</t>
  </si>
  <si>
    <t>PE10153</t>
  </si>
  <si>
    <t>PE10158M</t>
  </si>
  <si>
    <t>PE10154</t>
  </si>
  <si>
    <t>PE10155M</t>
  </si>
  <si>
    <t>PE10156M</t>
  </si>
  <si>
    <t>PE10157</t>
  </si>
  <si>
    <t>PE10159M</t>
  </si>
  <si>
    <t>PE10161</t>
  </si>
  <si>
    <t>PE10162</t>
  </si>
  <si>
    <t>PE10163</t>
  </si>
  <si>
    <t>PE10183</t>
  </si>
  <si>
    <t>PE10307</t>
  </si>
  <si>
    <t>PE10190M</t>
  </si>
  <si>
    <t>PE45192</t>
  </si>
  <si>
    <t>PE10197</t>
  </si>
  <si>
    <t>PE10203</t>
  </si>
  <si>
    <t>PE10204M</t>
  </si>
  <si>
    <t>PE10205</t>
  </si>
  <si>
    <t>PE10207M</t>
  </si>
  <si>
    <t>PE10208M</t>
  </si>
  <si>
    <t>PE10209M</t>
  </si>
  <si>
    <t>PE10212M</t>
  </si>
  <si>
    <t>PP1021M</t>
  </si>
  <si>
    <t>PE10217M</t>
  </si>
  <si>
    <t>PE10218M</t>
  </si>
  <si>
    <t>PE10219</t>
  </si>
  <si>
    <t>PE10220M</t>
  </si>
  <si>
    <t>PE10222</t>
  </si>
  <si>
    <t>PE10236M</t>
  </si>
  <si>
    <t>PE10249M</t>
  </si>
  <si>
    <t>PE10240M</t>
  </si>
  <si>
    <t>PE10247M</t>
  </si>
  <si>
    <t>PE10248M</t>
  </si>
  <si>
    <t>PP1004</t>
  </si>
  <si>
    <t>PP1005</t>
  </si>
  <si>
    <t>PP1006</t>
  </si>
  <si>
    <t>PP1007</t>
  </si>
  <si>
    <t>PP1008</t>
  </si>
  <si>
    <t>PP1009</t>
  </si>
  <si>
    <t>PP1010M</t>
  </si>
  <si>
    <t>PP1011</t>
  </si>
  <si>
    <t>PP1013</t>
  </si>
  <si>
    <t>PP1018</t>
  </si>
  <si>
    <t>PE45143</t>
  </si>
  <si>
    <t>PE45196</t>
  </si>
  <si>
    <t>PE10225</t>
  </si>
  <si>
    <t>PE45144</t>
  </si>
  <si>
    <t>PE10223</t>
  </si>
  <si>
    <t>PE10278</t>
  </si>
  <si>
    <t>PE10259</t>
  </si>
  <si>
    <t>PE10254</t>
  </si>
  <si>
    <t>PE10221</t>
  </si>
  <si>
    <t>PE10094M</t>
  </si>
  <si>
    <t>PE45193</t>
  </si>
  <si>
    <t>PE45194</t>
  </si>
  <si>
    <t>PE45195</t>
  </si>
  <si>
    <t>PP1031</t>
  </si>
  <si>
    <t>PE6016C</t>
  </si>
  <si>
    <t>PE10300</t>
  </si>
  <si>
    <t>PE10298</t>
  </si>
  <si>
    <t>PE45210</t>
  </si>
  <si>
    <t>PE45222</t>
  </si>
  <si>
    <t>PE10250</t>
  </si>
  <si>
    <t>PE10291</t>
  </si>
  <si>
    <t>PE10287</t>
  </si>
  <si>
    <t>PE10281M</t>
  </si>
  <si>
    <t>PE10275</t>
  </si>
  <si>
    <t>PE10266</t>
  </si>
  <si>
    <t>PE10260M</t>
  </si>
  <si>
    <t>PE10274</t>
  </si>
  <si>
    <t>PE10293</t>
  </si>
  <si>
    <t>PE10316</t>
  </si>
  <si>
    <t>PE10299</t>
  </si>
  <si>
    <t>PE10301</t>
  </si>
  <si>
    <t>PE10315M</t>
  </si>
  <si>
    <t>PE10271M</t>
  </si>
  <si>
    <t>PE10292</t>
  </si>
  <si>
    <t>PE45261</t>
  </si>
  <si>
    <t>PE10322</t>
  </si>
  <si>
    <t>PE45332</t>
  </si>
  <si>
    <t>PE10341M</t>
  </si>
  <si>
    <t>PE45220</t>
  </si>
  <si>
    <t>PE10216M</t>
  </si>
  <si>
    <t>PE45331</t>
  </si>
  <si>
    <t>PE10343</t>
  </si>
  <si>
    <t>PE10347</t>
  </si>
  <si>
    <t>PE6017C</t>
  </si>
  <si>
    <t>PE10348</t>
  </si>
  <si>
    <t>PE10320M</t>
  </si>
  <si>
    <t>PE10314</t>
  </si>
  <si>
    <t>PE10346M</t>
  </si>
  <si>
    <t>PP1041</t>
  </si>
  <si>
    <t>PP1042M</t>
  </si>
  <si>
    <t>PP1039</t>
  </si>
  <si>
    <t>PP1040</t>
  </si>
  <si>
    <t>PP1036M</t>
  </si>
  <si>
    <t>PP1037</t>
  </si>
  <si>
    <t>PP1038</t>
  </si>
  <si>
    <t>PE10360M</t>
  </si>
  <si>
    <t>PE6021C</t>
  </si>
  <si>
    <t>PE45294</t>
  </si>
  <si>
    <t>PE45224</t>
  </si>
  <si>
    <t>PE10342M</t>
  </si>
  <si>
    <t>PE45290</t>
  </si>
  <si>
    <t>PE10328</t>
  </si>
  <si>
    <t>PE10337M</t>
  </si>
  <si>
    <t>PE10349M</t>
  </si>
  <si>
    <t>PE10340M</t>
  </si>
  <si>
    <t>PE45293</t>
  </si>
  <si>
    <t>PE10330</t>
  </si>
  <si>
    <t>PE10331</t>
  </si>
  <si>
    <t>PE10369M</t>
  </si>
  <si>
    <t>PP1044</t>
  </si>
  <si>
    <t>PP1043</t>
  </si>
  <si>
    <t>PE10327M</t>
  </si>
  <si>
    <t>PE10344</t>
  </si>
  <si>
    <t>PE10329</t>
  </si>
  <si>
    <t>PE45387</t>
  </si>
  <si>
    <t>PE45389</t>
  </si>
  <si>
    <t>PE45393</t>
  </si>
  <si>
    <t>PE10350</t>
  </si>
  <si>
    <t>PE10381</t>
  </si>
  <si>
    <t>PE10392</t>
  </si>
  <si>
    <t>PE45392</t>
  </si>
  <si>
    <t>PE45391</t>
  </si>
  <si>
    <t>PE10399M</t>
  </si>
  <si>
    <t>PE10398M</t>
  </si>
  <si>
    <t>PE10382</t>
  </si>
  <si>
    <t>PE10389M</t>
  </si>
  <si>
    <t>PE10391M</t>
  </si>
  <si>
    <t>PE10380M</t>
  </si>
  <si>
    <t>PE10390M</t>
  </si>
  <si>
    <t>PE10377</t>
  </si>
  <si>
    <t>PE10378</t>
  </si>
  <si>
    <t>PE45295</t>
  </si>
  <si>
    <t>PE45421</t>
  </si>
  <si>
    <t>PP1048M</t>
  </si>
  <si>
    <t>PE45428</t>
  </si>
  <si>
    <t>PP1022</t>
  </si>
  <si>
    <t>PP1019</t>
  </si>
  <si>
    <t>PE10406M</t>
  </si>
  <si>
    <t>PE10251</t>
  </si>
  <si>
    <t>PP1020M</t>
  </si>
  <si>
    <t>PP1023</t>
  </si>
  <si>
    <t>PP1024</t>
  </si>
  <si>
    <t>PE10411</t>
  </si>
  <si>
    <t>PE10415</t>
  </si>
  <si>
    <t>PE10416</t>
  </si>
  <si>
    <t>PE10427</t>
  </si>
  <si>
    <t>PE10425</t>
  </si>
  <si>
    <t>PE10423M</t>
  </si>
  <si>
    <t>PE10408</t>
  </si>
  <si>
    <t>PE10407</t>
  </si>
  <si>
    <t>PE10417</t>
  </si>
  <si>
    <t>PE10426</t>
  </si>
  <si>
    <t>PE10422M</t>
  </si>
  <si>
    <t>PE10424</t>
  </si>
  <si>
    <t>PP9522</t>
  </si>
  <si>
    <t>PP9523</t>
  </si>
  <si>
    <t>PP9532</t>
  </si>
  <si>
    <t>PE45386</t>
  </si>
  <si>
    <t>PE45379</t>
  </si>
  <si>
    <t>PE45381</t>
  </si>
  <si>
    <t>PE45348</t>
  </si>
  <si>
    <t>PE45411</t>
  </si>
  <si>
    <t>PE45431</t>
  </si>
  <si>
    <t>PE45427</t>
  </si>
  <si>
    <t>PE45426</t>
  </si>
  <si>
    <t>PE45420</t>
  </si>
  <si>
    <t>PE45418</t>
  </si>
  <si>
    <t>PE45419</t>
  </si>
  <si>
    <t>PE45351</t>
  </si>
  <si>
    <t>PE45432</t>
  </si>
  <si>
    <t>PE45369</t>
  </si>
  <si>
    <t>PE45213</t>
  </si>
  <si>
    <t>PE10387M</t>
  </si>
  <si>
    <t>PE45410</t>
  </si>
  <si>
    <t>PE10364M</t>
  </si>
  <si>
    <t>PE10362M</t>
  </si>
  <si>
    <t>PE44191</t>
  </si>
  <si>
    <t>PE45259CM</t>
  </si>
  <si>
    <t>PE45236CM</t>
  </si>
  <si>
    <t>PE10373</t>
  </si>
  <si>
    <t>PE10384M</t>
  </si>
  <si>
    <t>PE10375</t>
  </si>
  <si>
    <t>PE10376</t>
  </si>
  <si>
    <t>PE10401</t>
  </si>
  <si>
    <t>PE5991</t>
  </si>
  <si>
    <t>PE45175CM</t>
  </si>
  <si>
    <t>PE45260CM</t>
  </si>
  <si>
    <t>PE44974CM</t>
  </si>
  <si>
    <t>PE45018CM</t>
  </si>
  <si>
    <t>PE10311M</t>
  </si>
  <si>
    <t>PE10419</t>
  </si>
  <si>
    <t>PE10357</t>
  </si>
  <si>
    <t>PE10338M</t>
  </si>
  <si>
    <t>PE10339M</t>
  </si>
  <si>
    <t>PP9526</t>
  </si>
  <si>
    <t>PP9530</t>
  </si>
  <si>
    <t>PP9511</t>
  </si>
  <si>
    <t>PP9514</t>
  </si>
  <si>
    <t>PE45339</t>
  </si>
  <si>
    <t>PE45445</t>
  </si>
  <si>
    <t>PE45429</t>
  </si>
  <si>
    <t>PE45375</t>
  </si>
  <si>
    <t>PE45323</t>
  </si>
  <si>
    <t>PE45447</t>
  </si>
  <si>
    <t>PE45406</t>
  </si>
  <si>
    <t>PE45407</t>
  </si>
  <si>
    <t>PE45034</t>
  </si>
  <si>
    <t>PE45451</t>
  </si>
  <si>
    <t>PE45320</t>
  </si>
  <si>
    <t>PE44533</t>
  </si>
  <si>
    <t>PE10395</t>
  </si>
  <si>
    <t>PE10409M</t>
  </si>
  <si>
    <t>PE45449</t>
  </si>
  <si>
    <t>PE44213</t>
  </si>
  <si>
    <t>PE45319</t>
  </si>
  <si>
    <t>PE45434</t>
  </si>
  <si>
    <t>PE45390</t>
  </si>
  <si>
    <t>PE10285M</t>
  </si>
  <si>
    <t>PE10280</t>
  </si>
  <si>
    <t>PE10413</t>
  </si>
  <si>
    <t>PE45178CM</t>
  </si>
  <si>
    <t>PE10404</t>
  </si>
  <si>
    <t>PE10385</t>
  </si>
  <si>
    <t>PE10421</t>
  </si>
  <si>
    <t>PE10412</t>
  </si>
  <si>
    <t>PE10434M</t>
  </si>
  <si>
    <t>PP1052</t>
  </si>
  <si>
    <t>PP1051M</t>
  </si>
  <si>
    <t>PE45453</t>
  </si>
  <si>
    <t>PE45338</t>
  </si>
  <si>
    <t>PE45490</t>
  </si>
  <si>
    <t>PE44347</t>
  </si>
  <si>
    <t>PE44728</t>
  </si>
  <si>
    <t>PE45019</t>
  </si>
  <si>
    <t>PE45032</t>
  </si>
  <si>
    <t>PE45031</t>
  </si>
  <si>
    <t>PE45117</t>
  </si>
  <si>
    <t>PE45109</t>
  </si>
  <si>
    <t>PE45141</t>
  </si>
  <si>
    <t>PE45139</t>
  </si>
  <si>
    <t>PE6011C</t>
  </si>
  <si>
    <t>PE6010C</t>
  </si>
  <si>
    <t>PE6009C</t>
  </si>
  <si>
    <t>PE45167CM</t>
  </si>
  <si>
    <t>PE45161CM</t>
  </si>
  <si>
    <t>PE45187CM</t>
  </si>
  <si>
    <t>PE45183CM</t>
  </si>
  <si>
    <t>PE45182</t>
  </si>
  <si>
    <t>PE45181</t>
  </si>
  <si>
    <t>PE45180</t>
  </si>
  <si>
    <t>PE45176CM</t>
  </si>
  <si>
    <t>PE45201CM</t>
  </si>
  <si>
    <t>PE45197CM</t>
  </si>
  <si>
    <t>PE45212</t>
  </si>
  <si>
    <t>PE45216</t>
  </si>
  <si>
    <t>PE45217</t>
  </si>
  <si>
    <t>PE45218</t>
  </si>
  <si>
    <t>PE45248</t>
  </si>
  <si>
    <t>PE45247</t>
  </si>
  <si>
    <t>PE45244</t>
  </si>
  <si>
    <t>PE45242</t>
  </si>
  <si>
    <t>PE45238</t>
  </si>
  <si>
    <t>PE45232CM</t>
  </si>
  <si>
    <t>PE45230CM</t>
  </si>
  <si>
    <t>PE45258</t>
  </si>
  <si>
    <t>PE45255</t>
  </si>
  <si>
    <t>PE45254</t>
  </si>
  <si>
    <t>PE45252</t>
  </si>
  <si>
    <t>PE45253</t>
  </si>
  <si>
    <t>PE45251</t>
  </si>
  <si>
    <t>PE45269</t>
  </si>
  <si>
    <t>PE45268</t>
  </si>
  <si>
    <t>PE45266CM</t>
  </si>
  <si>
    <t>PE45289</t>
  </si>
  <si>
    <t>PE45283</t>
  </si>
  <si>
    <t>PE45301</t>
  </si>
  <si>
    <t>PE45300</t>
  </si>
  <si>
    <t>PE45299</t>
  </si>
  <si>
    <t>PE45298</t>
  </si>
  <si>
    <t>PE45296</t>
  </si>
  <si>
    <t>PE45292</t>
  </si>
  <si>
    <t>PE45309CM</t>
  </si>
  <si>
    <t>PE45303</t>
  </si>
  <si>
    <t>PE45302</t>
  </si>
  <si>
    <t>PE6019C</t>
  </si>
  <si>
    <t>PE45322</t>
  </si>
  <si>
    <t>PE45321</t>
  </si>
  <si>
    <t>PE45334</t>
  </si>
  <si>
    <t>PE45333</t>
  </si>
  <si>
    <t>PE45330</t>
  </si>
  <si>
    <t>PE45329</t>
  </si>
  <si>
    <t>PE45324</t>
  </si>
  <si>
    <t>PE45343</t>
  </si>
  <si>
    <t>PE45342</t>
  </si>
  <si>
    <t>PE45340</t>
  </si>
  <si>
    <t>PE45337</t>
  </si>
  <si>
    <t>PE45336</t>
  </si>
  <si>
    <t>PE45335</t>
  </si>
  <si>
    <t>PE45341</t>
  </si>
  <si>
    <t>PE45357</t>
  </si>
  <si>
    <t>PE45356</t>
  </si>
  <si>
    <t>PE45354</t>
  </si>
  <si>
    <t>PE45350</t>
  </si>
  <si>
    <t>PE45349</t>
  </si>
  <si>
    <t>PE45347</t>
  </si>
  <si>
    <t>PE10403</t>
  </si>
  <si>
    <t>PE10414</t>
  </si>
  <si>
    <t>PE45346</t>
  </si>
  <si>
    <t>PE10402</t>
  </si>
  <si>
    <t>PE45344</t>
  </si>
  <si>
    <t>PP1049M</t>
  </si>
  <si>
    <t>PE45366</t>
  </si>
  <si>
    <t>PE45365</t>
  </si>
  <si>
    <t>PE45382</t>
  </si>
  <si>
    <t>PE45170CM</t>
  </si>
  <si>
    <t>PE45172CM</t>
  </si>
  <si>
    <t>PP9535</t>
  </si>
  <si>
    <t>PE45424</t>
  </si>
  <si>
    <t>PE45364</t>
  </si>
  <si>
    <t>PE45385</t>
  </si>
  <si>
    <t>PE45380</t>
  </si>
  <si>
    <t>PE45377</t>
  </si>
  <si>
    <t>PE45376</t>
  </si>
  <si>
    <t>PE45374</t>
  </si>
  <si>
    <t>PE45404</t>
  </si>
  <si>
    <t>PE45397</t>
  </si>
  <si>
    <t>PE45396</t>
  </si>
  <si>
    <t>PE45394</t>
  </si>
  <si>
    <t>PE45416</t>
  </si>
  <si>
    <t>PE45415</t>
  </si>
  <si>
    <t>PE45414</t>
  </si>
  <si>
    <t>PE45412</t>
  </si>
  <si>
    <t>PE45408</t>
  </si>
  <si>
    <t>PE45423</t>
  </si>
  <si>
    <t>PE45433</t>
  </si>
  <si>
    <t>PE45106</t>
  </si>
  <si>
    <t>PP9509</t>
  </si>
  <si>
    <t>PP9518</t>
  </si>
  <si>
    <t>PP9516</t>
  </si>
  <si>
    <t>PP9515</t>
  </si>
  <si>
    <t>PP9513</t>
  </si>
  <si>
    <t>PP9519</t>
  </si>
  <si>
    <t>PP9520</t>
  </si>
  <si>
    <t>PP9525</t>
  </si>
  <si>
    <t>PP9524</t>
  </si>
  <si>
    <t>PP9529</t>
  </si>
  <si>
    <t>PP9528</t>
  </si>
  <si>
    <t>PP9527</t>
  </si>
  <si>
    <t>PP9531</t>
  </si>
  <si>
    <t>PE45454</t>
  </si>
  <si>
    <t>PE45470</t>
  </si>
  <si>
    <t>PE10438M</t>
  </si>
  <si>
    <t>PE10437M</t>
  </si>
  <si>
    <t>PE10418</t>
  </si>
  <si>
    <t>PE10400M</t>
  </si>
  <si>
    <t>PP9547</t>
  </si>
  <si>
    <t>PP9536</t>
  </si>
  <si>
    <t>PE45487</t>
  </si>
  <si>
    <t>PE45475</t>
  </si>
  <si>
    <t>PE45474</t>
  </si>
  <si>
    <t>PE45455</t>
  </si>
  <si>
    <t>PE45435</t>
  </si>
  <si>
    <t>PE45425</t>
  </si>
  <si>
    <t>PE45493</t>
  </si>
  <si>
    <t>PE10420</t>
  </si>
  <si>
    <t>PP1057M</t>
  </si>
  <si>
    <t>PP9539</t>
  </si>
  <si>
    <t>PE45458</t>
  </si>
  <si>
    <t>PE45461</t>
  </si>
  <si>
    <t>PE45452</t>
  </si>
  <si>
    <t>PE45370</t>
  </si>
  <si>
    <t>PE45464</t>
  </si>
  <si>
    <t>PE45467</t>
  </si>
  <si>
    <t>PE45478</t>
  </si>
  <si>
    <t>PE45277</t>
  </si>
  <si>
    <t>PE45275</t>
  </si>
  <si>
    <t>PE45274</t>
  </si>
  <si>
    <t>PE45273</t>
  </si>
  <si>
    <t>PE45272</t>
  </si>
  <si>
    <t>PE10453M</t>
  </si>
  <si>
    <t>PE10439</t>
  </si>
  <si>
    <t>PE10451</t>
  </si>
  <si>
    <t>PP9537</t>
  </si>
  <si>
    <t>PE45471</t>
  </si>
  <si>
    <t>PE45484</t>
  </si>
  <si>
    <t>PE45466</t>
  </si>
  <si>
    <t>PE45468</t>
  </si>
  <si>
    <t>PE45485</t>
  </si>
  <si>
    <t>PE45383</t>
  </si>
  <si>
    <t>PE45460</t>
  </si>
  <si>
    <t>PE45477</t>
  </si>
  <si>
    <t>PE45501</t>
  </si>
  <si>
    <t>PE45476</t>
  </si>
  <si>
    <t>PE45502</t>
  </si>
  <si>
    <t>PE45462</t>
  </si>
  <si>
    <t>PE45276</t>
  </si>
  <si>
    <t>PE45108CM</t>
  </si>
  <si>
    <t>PE44329</t>
  </si>
  <si>
    <t>PE45459</t>
  </si>
  <si>
    <t>PE45345</t>
  </si>
  <si>
    <t>PE45491</t>
  </si>
  <si>
    <t>PE45525</t>
  </si>
  <si>
    <t>PE45500</t>
  </si>
  <si>
    <t>PE45498</t>
  </si>
  <si>
    <t>PE45499</t>
  </si>
  <si>
    <t>PE45489</t>
  </si>
  <si>
    <t>PE45526</t>
  </si>
  <si>
    <t>PE45504</t>
  </si>
  <si>
    <t>PE10440</t>
  </si>
  <si>
    <t>PE45162CM</t>
  </si>
  <si>
    <t>PE45287CM</t>
  </si>
  <si>
    <t>PE10462</t>
  </si>
  <si>
    <t>PE10455</t>
  </si>
  <si>
    <t>PP9546</t>
  </si>
  <si>
    <t>PP9545</t>
  </si>
  <si>
    <t>PE45486</t>
  </si>
  <si>
    <t>PE45463</t>
  </si>
  <si>
    <t>PE45492</t>
  </si>
  <si>
    <t>PE45163CM</t>
  </si>
  <si>
    <t>PE45179CM</t>
  </si>
  <si>
    <t>PE45168CM</t>
  </si>
  <si>
    <t>PE45513CM</t>
  </si>
  <si>
    <t>PP9550</t>
  </si>
  <si>
    <t>PP9543</t>
  </si>
  <si>
    <t>PP9542</t>
  </si>
  <si>
    <t>PE45579</t>
  </si>
  <si>
    <t>PE45580</t>
  </si>
  <si>
    <t>PE45540</t>
  </si>
  <si>
    <t>PE45446</t>
  </si>
  <si>
    <t>PE45503</t>
  </si>
  <si>
    <t>PE45542</t>
  </si>
  <si>
    <t>PE45572</t>
  </si>
  <si>
    <t>PE45536</t>
  </si>
  <si>
    <t>PE45538</t>
  </si>
  <si>
    <t>PE45586</t>
  </si>
  <si>
    <t>PE45571</t>
  </si>
  <si>
    <t>PE45569</t>
  </si>
  <si>
    <t>PE45282CM</t>
  </si>
  <si>
    <t>PE45313CM</t>
  </si>
  <si>
    <t>PE45263CM</t>
  </si>
  <si>
    <t>PE44960CM</t>
  </si>
  <si>
    <t>PE44691CM</t>
  </si>
  <si>
    <t>PE10458</t>
  </si>
  <si>
    <t>PE10467M</t>
  </si>
  <si>
    <t>PP1061M</t>
  </si>
  <si>
    <t>PP9541</t>
  </si>
  <si>
    <t>PE45582</t>
  </si>
  <si>
    <t>PE45505</t>
  </si>
  <si>
    <t>PE45537</t>
  </si>
  <si>
    <t>PE45469</t>
  </si>
  <si>
    <t>PE6030C</t>
  </si>
  <si>
    <t>PE6031C</t>
  </si>
  <si>
    <t>PE45279CM</t>
  </si>
  <si>
    <t>PE45306CM</t>
  </si>
  <si>
    <t>PE45541</t>
  </si>
  <si>
    <t>PE45543</t>
  </si>
  <si>
    <t>PE45553</t>
  </si>
  <si>
    <t>PE10465</t>
  </si>
  <si>
    <t>PE45231CM</t>
  </si>
  <si>
    <t>PE10457M</t>
  </si>
  <si>
    <t>PE10479M</t>
  </si>
  <si>
    <t>HDPE10480</t>
  </si>
  <si>
    <t>PE45585</t>
  </si>
  <si>
    <t>PE45573</t>
  </si>
  <si>
    <t>PE45591</t>
  </si>
  <si>
    <t>PE45555</t>
  </si>
  <si>
    <t>PE45570</t>
  </si>
  <si>
    <t>PE10461</t>
  </si>
  <si>
    <t>PE10475M</t>
  </si>
  <si>
    <t>PE10477</t>
  </si>
  <si>
    <t>PE45600</t>
  </si>
  <si>
    <t>PE45554</t>
  </si>
  <si>
    <t>PE45166CM</t>
  </si>
  <si>
    <t>PE45128CM</t>
  </si>
  <si>
    <t>PE45146</t>
  </si>
  <si>
    <t>PE45105</t>
  </si>
  <si>
    <t>PE45149</t>
  </si>
  <si>
    <t>PP9517</t>
  </si>
  <si>
    <t>PE45592</t>
  </si>
  <si>
    <t>PE45629</t>
  </si>
  <si>
    <t>PE45594</t>
  </si>
  <si>
    <t>PE45384</t>
  </si>
  <si>
    <t>PE45523</t>
  </si>
  <si>
    <t>PE45625</t>
  </si>
  <si>
    <t>PE45628</t>
  </si>
  <si>
    <t>PE45626</t>
  </si>
  <si>
    <t>PE45627</t>
  </si>
  <si>
    <t>PE10463M</t>
  </si>
  <si>
    <t>PP1067M</t>
  </si>
  <si>
    <t>PP9552</t>
  </si>
  <si>
    <t>PE45278</t>
  </si>
  <si>
    <t>PE45403CM</t>
  </si>
  <si>
    <t>PE45590</t>
  </si>
  <si>
    <t>PE45607</t>
  </si>
  <si>
    <t>PE45630</t>
  </si>
  <si>
    <t>PP9557PP</t>
  </si>
  <si>
    <t>PP9553</t>
  </si>
  <si>
    <t>PP9551</t>
  </si>
  <si>
    <t>PP9549</t>
  </si>
  <si>
    <t>PE45609</t>
  </si>
  <si>
    <t>PE10501M</t>
  </si>
  <si>
    <t>PE10502</t>
  </si>
  <si>
    <t>PE10503</t>
  </si>
  <si>
    <t>PP9559</t>
  </si>
  <si>
    <t>PP9558</t>
  </si>
  <si>
    <t>PE45497</t>
  </si>
  <si>
    <t>PE45610</t>
  </si>
  <si>
    <t>PE45612</t>
  </si>
  <si>
    <t>PE45631</t>
  </si>
  <si>
    <t>PE45619</t>
  </si>
  <si>
    <t>PE45601</t>
  </si>
  <si>
    <t>PE45577</t>
  </si>
  <si>
    <t>PE45611</t>
  </si>
  <si>
    <t>PE45598</t>
  </si>
  <si>
    <t>PE45589</t>
  </si>
  <si>
    <t>PE45618</t>
  </si>
  <si>
    <t>PE6032C</t>
  </si>
  <si>
    <t>PE6028C</t>
  </si>
  <si>
    <t>PE45090CM</t>
  </si>
  <si>
    <t>PE45184CM</t>
  </si>
  <si>
    <t>PE10466</t>
  </si>
  <si>
    <t>PP9560</t>
  </si>
  <si>
    <t>PE45650</t>
  </si>
  <si>
    <t>PE45647</t>
  </si>
  <si>
    <t>PE45648</t>
  </si>
  <si>
    <t>PE45613</t>
  </si>
  <si>
    <t>PE45651</t>
  </si>
  <si>
    <t>PE45148</t>
  </si>
  <si>
    <t>PE45104</t>
  </si>
  <si>
    <t>PE45189CM</t>
  </si>
  <si>
    <t>PE10318</t>
  </si>
  <si>
    <t>PE45173CM</t>
  </si>
  <si>
    <t>PE45284CM</t>
  </si>
  <si>
    <t>PE45291</t>
  </si>
  <si>
    <t>PE45239</t>
  </si>
  <si>
    <t>PE10174</t>
  </si>
  <si>
    <t>PE10310</t>
  </si>
  <si>
    <t>PE45249</t>
  </si>
  <si>
    <t>PE45016CM</t>
  </si>
  <si>
    <t>PE45116</t>
  </si>
  <si>
    <t>PE45256</t>
  </si>
  <si>
    <t>PE10313</t>
  </si>
  <si>
    <t>PE10308</t>
  </si>
  <si>
    <t>PE10309</t>
  </si>
  <si>
    <t>PE10334M</t>
  </si>
  <si>
    <t>PE45219</t>
  </si>
  <si>
    <t>PE45226</t>
  </si>
  <si>
    <t>PE10335M</t>
  </si>
  <si>
    <t>PE10336M</t>
  </si>
  <si>
    <t>PE45228CM</t>
  </si>
  <si>
    <t>PE45257CM</t>
  </si>
  <si>
    <t>PE10325</t>
  </si>
  <si>
    <t>PP9521</t>
  </si>
  <si>
    <t>PE10332</t>
  </si>
  <si>
    <t>PE10333</t>
  </si>
  <si>
    <t>PE10319M</t>
  </si>
  <si>
    <t>PE45284</t>
  </si>
  <si>
    <t>PE45243</t>
  </si>
  <si>
    <t>PE45241</t>
  </si>
  <si>
    <t>PE45240</t>
  </si>
  <si>
    <t>PE10326M</t>
  </si>
  <si>
    <t>PE44336</t>
  </si>
  <si>
    <t>PE44373</t>
  </si>
  <si>
    <t>PE44283</t>
  </si>
  <si>
    <t>PE10353</t>
  </si>
  <si>
    <t>PE10354M</t>
  </si>
  <si>
    <t>PE45264CM</t>
  </si>
  <si>
    <t>PE45227</t>
  </si>
  <si>
    <t>PE45308CM</t>
  </si>
  <si>
    <t>PE45159CM</t>
  </si>
  <si>
    <t>PE45235CM</t>
  </si>
  <si>
    <t>PE10514</t>
  </si>
  <si>
    <t>PP1071M</t>
  </si>
  <si>
    <t>PE45644</t>
  </si>
  <si>
    <t>PE45649</t>
  </si>
  <si>
    <t>PE45646</t>
  </si>
  <si>
    <t>PE45645</t>
  </si>
  <si>
    <t>PE45597</t>
  </si>
  <si>
    <t>PE45620</t>
  </si>
  <si>
    <t>PE45652</t>
  </si>
  <si>
    <t>PE45355</t>
  </si>
  <si>
    <t>PE10363</t>
  </si>
  <si>
    <t>PE10356M</t>
  </si>
  <si>
    <t>PE45358</t>
  </si>
  <si>
    <t>PE10352</t>
  </si>
  <si>
    <t>PE10345M</t>
  </si>
  <si>
    <t>PE45395</t>
  </si>
  <si>
    <t>PE10359</t>
  </si>
  <si>
    <t>PE10358</t>
  </si>
  <si>
    <t>PE10355M</t>
  </si>
  <si>
    <t>PE10374</t>
  </si>
  <si>
    <t>PE10361M</t>
  </si>
  <si>
    <t>PE45304</t>
  </si>
  <si>
    <t>PE10379M</t>
  </si>
  <si>
    <t>PE45206CM</t>
  </si>
  <si>
    <t>PE45328CM</t>
  </si>
  <si>
    <t>PE45310CM</t>
  </si>
  <si>
    <t>PE45440CM</t>
  </si>
  <si>
    <t>PE45675</t>
  </si>
  <si>
    <t>PE45674</t>
  </si>
  <si>
    <t>PE45673</t>
  </si>
  <si>
    <t>PE45654</t>
  </si>
  <si>
    <t>PE45655</t>
  </si>
  <si>
    <t>PE45691</t>
  </si>
  <si>
    <t>PE45686</t>
  </si>
  <si>
    <t>PE45683</t>
  </si>
  <si>
    <t>PE10351</t>
  </si>
  <si>
    <t>PE10371M</t>
  </si>
  <si>
    <t>PE10394M</t>
  </si>
  <si>
    <t>PP1030M</t>
  </si>
  <si>
    <t>PP1045</t>
  </si>
  <si>
    <t>PE10386</t>
  </si>
  <si>
    <t>PE10396</t>
  </si>
  <si>
    <t>PE10397</t>
  </si>
  <si>
    <t>PE45495</t>
  </si>
  <si>
    <t>PE10383</t>
  </si>
  <si>
    <t>PE10410</t>
  </si>
  <si>
    <t>PE45448</t>
  </si>
  <si>
    <t>PE45663</t>
  </si>
  <si>
    <t>PE45662</t>
  </si>
  <si>
    <t>PE45697</t>
  </si>
  <si>
    <t>PE45696</t>
  </si>
  <si>
    <t>PE45578</t>
  </si>
  <si>
    <t>PP1073M</t>
  </si>
  <si>
    <t>PE10525</t>
  </si>
  <si>
    <t>PE10523</t>
  </si>
  <si>
    <t>PE10516M</t>
  </si>
  <si>
    <t>HDPE10517</t>
  </si>
  <si>
    <t>HDPE10518</t>
  </si>
  <si>
    <t>PE10526</t>
  </si>
  <si>
    <t>PE45670</t>
  </si>
  <si>
    <t>PE45679</t>
  </si>
  <si>
    <t>PE45653</t>
  </si>
  <si>
    <t>42/107</t>
  </si>
  <si>
    <t>PP9562</t>
  </si>
  <si>
    <t>PE10527</t>
  </si>
  <si>
    <t>PE10519M</t>
  </si>
  <si>
    <t>PE10522</t>
  </si>
  <si>
    <t>PE6042C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</si>
</sst>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8"/>
  <sheetViews>
    <sheetView tabSelected="1" workbookViewId="0">
      <selection sqref="A1:C1358"/>
    </sheetView>
  </sheetViews>
  <sheetFormatPr baseColWidth="10" defaultRowHeight="15" x14ac:dyDescent="0.25"/>
  <cols>
    <col min="2" max="2" width="14.140625" customWidth="1"/>
    <col min="3" max="3" width="11.42578125" style="1"/>
  </cols>
  <sheetData>
    <row r="1" spans="1:3" x14ac:dyDescent="0.25">
      <c r="A1" t="s">
        <v>0</v>
      </c>
      <c r="B1" t="s">
        <v>67</v>
      </c>
      <c r="C1" s="2" t="s">
        <v>68</v>
      </c>
    </row>
    <row r="2" spans="1:3" x14ac:dyDescent="0.25">
      <c r="A2" s="3" t="s">
        <v>1</v>
      </c>
      <c r="B2" s="3">
        <f>+(48*500)+90+400+480</f>
        <v>24970</v>
      </c>
      <c r="C2" s="4"/>
    </row>
    <row r="3" spans="1:3" x14ac:dyDescent="0.25">
      <c r="A3" s="3" t="s">
        <v>2</v>
      </c>
      <c r="B3" s="3">
        <f>+(28*500)+300+300+140+400</f>
        <v>15140</v>
      </c>
      <c r="C3" s="4"/>
    </row>
    <row r="4" spans="1:3" x14ac:dyDescent="0.25">
      <c r="A4" t="s">
        <v>3</v>
      </c>
      <c r="B4">
        <v>7000</v>
      </c>
      <c r="C4"/>
    </row>
    <row r="5" spans="1:3" x14ac:dyDescent="0.25">
      <c r="A5" t="s">
        <v>4</v>
      </c>
      <c r="B5">
        <f>4*500</f>
        <v>2000</v>
      </c>
      <c r="C5"/>
    </row>
    <row r="6" spans="1:3" x14ac:dyDescent="0.25">
      <c r="A6" s="3" t="s">
        <v>5</v>
      </c>
      <c r="B6" s="3">
        <f>+(6*500)+420</f>
        <v>3420</v>
      </c>
      <c r="C6" s="4"/>
    </row>
    <row r="7" spans="1:3" x14ac:dyDescent="0.25">
      <c r="A7" s="3" t="s">
        <v>6</v>
      </c>
      <c r="B7" s="3">
        <v>7450</v>
      </c>
      <c r="C7" s="4"/>
    </row>
    <row r="8" spans="1:3" x14ac:dyDescent="0.25">
      <c r="A8" s="3" t="s">
        <v>8</v>
      </c>
      <c r="B8" s="3">
        <v>4520</v>
      </c>
      <c r="C8" s="4"/>
    </row>
    <row r="9" spans="1:3" x14ac:dyDescent="0.25">
      <c r="A9" s="3" t="s">
        <v>9</v>
      </c>
      <c r="B9" s="3">
        <v>6770</v>
      </c>
      <c r="C9" s="4"/>
    </row>
    <row r="10" spans="1:3" x14ac:dyDescent="0.25">
      <c r="A10" s="3" t="s">
        <v>10</v>
      </c>
      <c r="B10" s="3">
        <v>1650</v>
      </c>
      <c r="C10" s="4"/>
    </row>
    <row r="11" spans="1:3" x14ac:dyDescent="0.25">
      <c r="A11" s="3" t="s">
        <v>11</v>
      </c>
      <c r="B11" s="3">
        <v>520</v>
      </c>
      <c r="C11" s="4"/>
    </row>
    <row r="12" spans="1:3" x14ac:dyDescent="0.25">
      <c r="A12" s="3" t="s">
        <v>12</v>
      </c>
      <c r="B12" s="3">
        <v>57000</v>
      </c>
      <c r="C12" s="4"/>
    </row>
    <row r="13" spans="1:3" x14ac:dyDescent="0.25">
      <c r="A13" s="3" t="s">
        <v>13</v>
      </c>
      <c r="B13" s="3">
        <v>1500</v>
      </c>
      <c r="C13" s="4"/>
    </row>
    <row r="14" spans="1:3" x14ac:dyDescent="0.25">
      <c r="A14" s="3" t="s">
        <v>14</v>
      </c>
      <c r="B14">
        <f>500+150</f>
        <v>650</v>
      </c>
      <c r="C14"/>
    </row>
    <row r="15" spans="1:3" x14ac:dyDescent="0.25">
      <c r="A15" s="3" t="s">
        <v>15</v>
      </c>
      <c r="B15" s="3">
        <v>23982</v>
      </c>
      <c r="C15" s="4"/>
    </row>
    <row r="16" spans="1:3" x14ac:dyDescent="0.25">
      <c r="A16" s="3" t="s">
        <v>69</v>
      </c>
      <c r="B16" s="3">
        <v>17720</v>
      </c>
      <c r="C16" s="4"/>
    </row>
    <row r="17" spans="1:3" x14ac:dyDescent="0.25">
      <c r="A17" s="3" t="s">
        <v>16</v>
      </c>
      <c r="B17">
        <f>40*50+2*50</f>
        <v>2100</v>
      </c>
      <c r="C17"/>
    </row>
    <row r="18" spans="1:3" x14ac:dyDescent="0.25">
      <c r="A18" s="3" t="s">
        <v>17</v>
      </c>
      <c r="B18" s="3">
        <v>3000</v>
      </c>
      <c r="C18" s="4"/>
    </row>
    <row r="19" spans="1:3" x14ac:dyDescent="0.25">
      <c r="A19" s="3" t="s">
        <v>18</v>
      </c>
      <c r="B19">
        <f>6*500+400</f>
        <v>3400</v>
      </c>
      <c r="C19"/>
    </row>
    <row r="20" spans="1:3" x14ac:dyDescent="0.25">
      <c r="A20" s="3" t="s">
        <v>19</v>
      </c>
      <c r="B20">
        <f>5*500+230</f>
        <v>2730</v>
      </c>
      <c r="C20"/>
    </row>
    <row r="21" spans="1:3" x14ac:dyDescent="0.25">
      <c r="A21" s="3" t="s">
        <v>20</v>
      </c>
      <c r="B21">
        <f>14*500</f>
        <v>7000</v>
      </c>
      <c r="C21"/>
    </row>
    <row r="22" spans="1:3" x14ac:dyDescent="0.25">
      <c r="A22" s="3" t="s">
        <v>21</v>
      </c>
      <c r="B22" s="3">
        <v>24962</v>
      </c>
      <c r="C22" s="4"/>
    </row>
    <row r="23" spans="1:3" x14ac:dyDescent="0.25">
      <c r="A23" s="3" t="s">
        <v>22</v>
      </c>
      <c r="B23">
        <f>3*500+245</f>
        <v>1745</v>
      </c>
      <c r="C23"/>
    </row>
    <row r="24" spans="1:3" x14ac:dyDescent="0.25">
      <c r="A24" s="3" t="s">
        <v>23</v>
      </c>
      <c r="B24" s="3">
        <v>11000</v>
      </c>
      <c r="C24" s="4"/>
    </row>
    <row r="25" spans="1:3" x14ac:dyDescent="0.25">
      <c r="A25" s="3" t="s">
        <v>70</v>
      </c>
      <c r="B25">
        <f>10*500</f>
        <v>5000</v>
      </c>
      <c r="C25"/>
    </row>
    <row r="26" spans="1:3" x14ac:dyDescent="0.25">
      <c r="A26" s="3" t="s">
        <v>24</v>
      </c>
      <c r="B26">
        <v>246</v>
      </c>
      <c r="C26" t="s">
        <v>25</v>
      </c>
    </row>
    <row r="27" spans="1:3" x14ac:dyDescent="0.25">
      <c r="A27" s="3" t="s">
        <v>24</v>
      </c>
      <c r="B27">
        <v>179</v>
      </c>
      <c r="C27" t="s">
        <v>26</v>
      </c>
    </row>
    <row r="28" spans="1:3" x14ac:dyDescent="0.25">
      <c r="A28" s="3" t="s">
        <v>24</v>
      </c>
      <c r="B28">
        <v>568</v>
      </c>
      <c r="C28" t="s">
        <v>71</v>
      </c>
    </row>
    <row r="29" spans="1:3" x14ac:dyDescent="0.25">
      <c r="A29" s="3" t="s">
        <v>24</v>
      </c>
      <c r="B29">
        <f>240+500</f>
        <v>740</v>
      </c>
      <c r="C29" t="s">
        <v>27</v>
      </c>
    </row>
    <row r="30" spans="1:3" x14ac:dyDescent="0.25">
      <c r="A30" s="3" t="s">
        <v>24</v>
      </c>
      <c r="B30">
        <v>515</v>
      </c>
      <c r="C30" t="s">
        <v>28</v>
      </c>
    </row>
    <row r="31" spans="1:3" x14ac:dyDescent="0.25">
      <c r="A31" s="3" t="s">
        <v>72</v>
      </c>
      <c r="B31" s="3">
        <f>2*500+200+460+270+120+500+130</f>
        <v>2680</v>
      </c>
      <c r="C31" s="4"/>
    </row>
    <row r="32" spans="1:3" x14ac:dyDescent="0.25">
      <c r="A32" s="3" t="s">
        <v>29</v>
      </c>
      <c r="B32">
        <f>6*500+200+275</f>
        <v>3475</v>
      </c>
      <c r="C32"/>
    </row>
    <row r="33" spans="1:3" x14ac:dyDescent="0.25">
      <c r="A33" s="3" t="s">
        <v>30</v>
      </c>
      <c r="B33" s="3">
        <f>9*500+280</f>
        <v>4780</v>
      </c>
      <c r="C33" s="4"/>
    </row>
    <row r="34" spans="1:3" x14ac:dyDescent="0.25">
      <c r="A34" s="3" t="s">
        <v>31</v>
      </c>
      <c r="B34">
        <f>500+400</f>
        <v>900</v>
      </c>
      <c r="C34"/>
    </row>
    <row r="35" spans="1:3" x14ac:dyDescent="0.25">
      <c r="A35" s="3" t="s">
        <v>73</v>
      </c>
      <c r="B35">
        <f>240+32+300</f>
        <v>572</v>
      </c>
      <c r="C35"/>
    </row>
    <row r="36" spans="1:3" x14ac:dyDescent="0.25">
      <c r="A36" s="3" t="s">
        <v>32</v>
      </c>
      <c r="B36">
        <f>27*300+140</f>
        <v>8240</v>
      </c>
      <c r="C36"/>
    </row>
    <row r="37" spans="1:3" x14ac:dyDescent="0.25">
      <c r="A37" s="3" t="s">
        <v>33</v>
      </c>
      <c r="B37" s="3">
        <v>358</v>
      </c>
      <c r="C37" s="4"/>
    </row>
    <row r="38" spans="1:3" x14ac:dyDescent="0.25">
      <c r="A38" s="3" t="s">
        <v>34</v>
      </c>
      <c r="B38">
        <f>500+480+500+500</f>
        <v>1980</v>
      </c>
      <c r="C38"/>
    </row>
    <row r="39" spans="1:3" x14ac:dyDescent="0.25">
      <c r="A39" s="3" t="s">
        <v>74</v>
      </c>
      <c r="B39">
        <v>140</v>
      </c>
      <c r="C39"/>
    </row>
    <row r="40" spans="1:3" x14ac:dyDescent="0.25">
      <c r="A40" s="3" t="s">
        <v>75</v>
      </c>
      <c r="B40" s="3">
        <v>70</v>
      </c>
      <c r="C40" s="4"/>
    </row>
    <row r="41" spans="1:3" x14ac:dyDescent="0.25">
      <c r="A41" s="3" t="s">
        <v>76</v>
      </c>
      <c r="B41" s="3">
        <v>58</v>
      </c>
      <c r="C41" s="4"/>
    </row>
    <row r="42" spans="1:3" x14ac:dyDescent="0.25">
      <c r="A42" s="3" t="s">
        <v>35</v>
      </c>
      <c r="B42" s="3">
        <v>96</v>
      </c>
      <c r="C42"/>
    </row>
    <row r="43" spans="1:3" x14ac:dyDescent="0.25">
      <c r="A43" s="3" t="s">
        <v>77</v>
      </c>
      <c r="B43" s="3">
        <v>240</v>
      </c>
      <c r="C43"/>
    </row>
    <row r="44" spans="1:3" x14ac:dyDescent="0.25">
      <c r="A44" s="3" t="s">
        <v>36</v>
      </c>
      <c r="B44" s="3">
        <v>313</v>
      </c>
      <c r="C44" s="4"/>
    </row>
    <row r="45" spans="1:3" x14ac:dyDescent="0.25">
      <c r="A45" s="3" t="s">
        <v>78</v>
      </c>
      <c r="B45" s="3">
        <v>112</v>
      </c>
      <c r="C45" s="4"/>
    </row>
    <row r="46" spans="1:3" x14ac:dyDescent="0.25">
      <c r="A46" s="3" t="s">
        <v>79</v>
      </c>
      <c r="B46" s="3">
        <v>400</v>
      </c>
      <c r="C46" s="4"/>
    </row>
    <row r="47" spans="1:3" x14ac:dyDescent="0.25">
      <c r="A47" s="3" t="s">
        <v>80</v>
      </c>
      <c r="B47" s="3">
        <f>500+330</f>
        <v>830</v>
      </c>
      <c r="C47" s="4"/>
    </row>
    <row r="48" spans="1:3" x14ac:dyDescent="0.25">
      <c r="A48" s="3" t="s">
        <v>81</v>
      </c>
      <c r="B48" s="3">
        <f>300+500+500+500</f>
        <v>1800</v>
      </c>
      <c r="C48" s="4"/>
    </row>
    <row r="49" spans="1:3" x14ac:dyDescent="0.25">
      <c r="A49" s="3" t="s">
        <v>37</v>
      </c>
      <c r="B49" s="3">
        <v>1500</v>
      </c>
      <c r="C49" s="4"/>
    </row>
    <row r="50" spans="1:3" x14ac:dyDescent="0.25">
      <c r="A50" t="s">
        <v>82</v>
      </c>
      <c r="B50" s="3">
        <v>500</v>
      </c>
      <c r="C50"/>
    </row>
    <row r="51" spans="1:3" x14ac:dyDescent="0.25">
      <c r="A51" t="s">
        <v>83</v>
      </c>
      <c r="B51" s="3">
        <v>500</v>
      </c>
      <c r="C51"/>
    </row>
    <row r="52" spans="1:3" x14ac:dyDescent="0.25">
      <c r="A52" t="s">
        <v>38</v>
      </c>
      <c r="B52" s="3">
        <v>150</v>
      </c>
      <c r="C52"/>
    </row>
    <row r="53" spans="1:3" x14ac:dyDescent="0.25">
      <c r="A53" s="3" t="s">
        <v>39</v>
      </c>
      <c r="B53" s="3">
        <v>70</v>
      </c>
      <c r="C53" s="4"/>
    </row>
    <row r="54" spans="1:3" x14ac:dyDescent="0.25">
      <c r="A54" t="s">
        <v>84</v>
      </c>
      <c r="B54" s="3">
        <v>180</v>
      </c>
      <c r="C54"/>
    </row>
    <row r="55" spans="1:3" x14ac:dyDescent="0.25">
      <c r="A55" s="3" t="s">
        <v>85</v>
      </c>
      <c r="B55" s="3">
        <v>45</v>
      </c>
      <c r="C55" s="4"/>
    </row>
    <row r="56" spans="1:3" x14ac:dyDescent="0.25">
      <c r="A56" t="s">
        <v>40</v>
      </c>
      <c r="B56" s="3">
        <v>280</v>
      </c>
      <c r="C56"/>
    </row>
    <row r="57" spans="1:3" x14ac:dyDescent="0.25">
      <c r="A57" s="3" t="s">
        <v>86</v>
      </c>
      <c r="B57" s="3">
        <v>420</v>
      </c>
      <c r="C57" s="4"/>
    </row>
    <row r="58" spans="1:3" x14ac:dyDescent="0.25">
      <c r="A58" t="s">
        <v>41</v>
      </c>
      <c r="B58" s="3">
        <v>200</v>
      </c>
      <c r="C58"/>
    </row>
    <row r="59" spans="1:3" x14ac:dyDescent="0.25">
      <c r="A59" s="3" t="s">
        <v>87</v>
      </c>
      <c r="B59" s="3">
        <f>5*500+150+357</f>
        <v>3007</v>
      </c>
      <c r="C59" s="4"/>
    </row>
    <row r="60" spans="1:3" x14ac:dyDescent="0.25">
      <c r="A60" t="s">
        <v>42</v>
      </c>
      <c r="B60" s="3">
        <v>500</v>
      </c>
      <c r="C60"/>
    </row>
    <row r="61" spans="1:3" x14ac:dyDescent="0.25">
      <c r="A61" s="3" t="s">
        <v>43</v>
      </c>
      <c r="B61" s="3">
        <v>300</v>
      </c>
      <c r="C61" s="4"/>
    </row>
    <row r="62" spans="1:3" x14ac:dyDescent="0.25">
      <c r="A62" t="s">
        <v>88</v>
      </c>
      <c r="B62">
        <f>2*500</f>
        <v>1000</v>
      </c>
      <c r="C62"/>
    </row>
    <row r="63" spans="1:3" x14ac:dyDescent="0.25">
      <c r="A63" s="3" t="s">
        <v>44</v>
      </c>
      <c r="B63" s="3">
        <v>500</v>
      </c>
      <c r="C63" s="4"/>
    </row>
    <row r="64" spans="1:3" x14ac:dyDescent="0.25">
      <c r="A64" t="s">
        <v>45</v>
      </c>
      <c r="B64" s="3">
        <v>170</v>
      </c>
      <c r="C64"/>
    </row>
    <row r="65" spans="1:3" x14ac:dyDescent="0.25">
      <c r="A65" s="3" t="s">
        <v>46</v>
      </c>
      <c r="B65" s="3">
        <v>80</v>
      </c>
      <c r="C65"/>
    </row>
    <row r="66" spans="1:3" x14ac:dyDescent="0.25">
      <c r="A66" s="3" t="s">
        <v>89</v>
      </c>
      <c r="B66" s="3">
        <v>100</v>
      </c>
      <c r="C66" s="4"/>
    </row>
    <row r="67" spans="1:3" x14ac:dyDescent="0.25">
      <c r="A67" s="3" t="s">
        <v>90</v>
      </c>
      <c r="B67" s="3">
        <v>270</v>
      </c>
      <c r="C67" s="4"/>
    </row>
    <row r="68" spans="1:3" x14ac:dyDescent="0.25">
      <c r="A68" s="3" t="s">
        <v>91</v>
      </c>
      <c r="B68" s="3">
        <f>213+460</f>
        <v>673</v>
      </c>
      <c r="C68"/>
    </row>
    <row r="69" spans="1:3" x14ac:dyDescent="0.25">
      <c r="A69" s="3" t="s">
        <v>92</v>
      </c>
      <c r="B69" s="3">
        <v>170</v>
      </c>
      <c r="C69" s="4"/>
    </row>
    <row r="70" spans="1:3" x14ac:dyDescent="0.25">
      <c r="A70" s="3" t="s">
        <v>93</v>
      </c>
      <c r="B70" s="3">
        <v>100</v>
      </c>
      <c r="C70" s="4"/>
    </row>
    <row r="71" spans="1:3" x14ac:dyDescent="0.25">
      <c r="A71" s="3" t="s">
        <v>94</v>
      </c>
      <c r="B71" s="3">
        <v>80</v>
      </c>
      <c r="C71" s="4"/>
    </row>
    <row r="72" spans="1:3" x14ac:dyDescent="0.25">
      <c r="A72" s="3" t="s">
        <v>95</v>
      </c>
      <c r="B72" s="3">
        <v>40</v>
      </c>
      <c r="C72" s="4"/>
    </row>
    <row r="73" spans="1:3" x14ac:dyDescent="0.25">
      <c r="A73" s="3" t="s">
        <v>96</v>
      </c>
      <c r="B73" s="3">
        <f>100+370</f>
        <v>470</v>
      </c>
      <c r="C73" s="4"/>
    </row>
    <row r="74" spans="1:3" x14ac:dyDescent="0.25">
      <c r="A74" s="3" t="s">
        <v>97</v>
      </c>
      <c r="B74" s="3">
        <v>420</v>
      </c>
      <c r="C74" s="4"/>
    </row>
    <row r="75" spans="1:3" x14ac:dyDescent="0.25">
      <c r="A75" s="3" t="s">
        <v>98</v>
      </c>
      <c r="B75" s="3">
        <v>60</v>
      </c>
      <c r="C75" s="4"/>
    </row>
    <row r="76" spans="1:3" x14ac:dyDescent="0.25">
      <c r="A76" t="s">
        <v>99</v>
      </c>
      <c r="B76" s="3">
        <v>180</v>
      </c>
      <c r="C76"/>
    </row>
    <row r="77" spans="1:3" x14ac:dyDescent="0.25">
      <c r="A77" s="3" t="s">
        <v>100</v>
      </c>
      <c r="B77" s="3">
        <v>500</v>
      </c>
      <c r="C77" s="4"/>
    </row>
    <row r="78" spans="1:3" x14ac:dyDescent="0.25">
      <c r="A78" s="3" t="s">
        <v>47</v>
      </c>
      <c r="B78" s="3">
        <f>8*2500+230</f>
        <v>20230</v>
      </c>
      <c r="C78" s="4"/>
    </row>
    <row r="79" spans="1:3" x14ac:dyDescent="0.25">
      <c r="A79" s="3" t="s">
        <v>48</v>
      </c>
      <c r="B79" s="3">
        <f>5*500+400</f>
        <v>2900</v>
      </c>
      <c r="C79" s="4"/>
    </row>
    <row r="80" spans="1:3" x14ac:dyDescent="0.25">
      <c r="A80" s="3" t="s">
        <v>49</v>
      </c>
      <c r="B80" s="3">
        <v>375</v>
      </c>
      <c r="C80" s="4"/>
    </row>
    <row r="81" spans="1:3" x14ac:dyDescent="0.25">
      <c r="A81" s="3" t="s">
        <v>101</v>
      </c>
      <c r="B81" s="3">
        <v>120</v>
      </c>
      <c r="C81"/>
    </row>
    <row r="82" spans="1:3" x14ac:dyDescent="0.25">
      <c r="A82" s="3" t="s">
        <v>102</v>
      </c>
      <c r="B82" s="3">
        <v>225</v>
      </c>
      <c r="C82" s="4"/>
    </row>
    <row r="83" spans="1:3" x14ac:dyDescent="0.25">
      <c r="A83" s="3" t="s">
        <v>50</v>
      </c>
      <c r="B83" s="3">
        <v>200</v>
      </c>
      <c r="C83" s="4"/>
    </row>
    <row r="84" spans="1:3" x14ac:dyDescent="0.25">
      <c r="A84" t="s">
        <v>103</v>
      </c>
      <c r="B84">
        <f>500+500</f>
        <v>1000</v>
      </c>
      <c r="C84"/>
    </row>
    <row r="85" spans="1:3" x14ac:dyDescent="0.25">
      <c r="A85" s="3" t="s">
        <v>51</v>
      </c>
      <c r="B85" s="3">
        <v>500</v>
      </c>
      <c r="C85"/>
    </row>
    <row r="86" spans="1:3" x14ac:dyDescent="0.25">
      <c r="A86" s="3" t="s">
        <v>52</v>
      </c>
      <c r="B86" s="3">
        <v>40</v>
      </c>
      <c r="C86" s="4"/>
    </row>
    <row r="87" spans="1:3" x14ac:dyDescent="0.25">
      <c r="A87" t="s">
        <v>104</v>
      </c>
      <c r="B87" s="3">
        <v>500</v>
      </c>
      <c r="C87"/>
    </row>
    <row r="88" spans="1:3" x14ac:dyDescent="0.25">
      <c r="A88" s="3" t="s">
        <v>105</v>
      </c>
      <c r="B88" s="3">
        <v>500</v>
      </c>
      <c r="C88"/>
    </row>
    <row r="89" spans="1:3" x14ac:dyDescent="0.25">
      <c r="A89" s="3" t="s">
        <v>53</v>
      </c>
      <c r="B89" s="3">
        <v>600</v>
      </c>
      <c r="C89"/>
    </row>
    <row r="90" spans="1:3" x14ac:dyDescent="0.25">
      <c r="A90" s="3" t="s">
        <v>54</v>
      </c>
      <c r="B90" s="3">
        <v>300</v>
      </c>
      <c r="C90" s="4"/>
    </row>
    <row r="91" spans="1:3" x14ac:dyDescent="0.25">
      <c r="A91" s="3" t="s">
        <v>55</v>
      </c>
      <c r="B91" s="3">
        <v>500</v>
      </c>
      <c r="C91"/>
    </row>
    <row r="92" spans="1:3" x14ac:dyDescent="0.25">
      <c r="A92" s="3" t="s">
        <v>56</v>
      </c>
      <c r="B92" s="3">
        <f>3*500+460</f>
        <v>1960</v>
      </c>
      <c r="C92" s="4"/>
    </row>
    <row r="93" spans="1:3" x14ac:dyDescent="0.25">
      <c r="A93" t="s">
        <v>106</v>
      </c>
      <c r="B93">
        <f>2*500+150</f>
        <v>1150</v>
      </c>
      <c r="C93"/>
    </row>
    <row r="94" spans="1:3" x14ac:dyDescent="0.25">
      <c r="A94" s="3" t="s">
        <v>66</v>
      </c>
      <c r="B94" s="3">
        <v>370</v>
      </c>
      <c r="C94" s="4"/>
    </row>
    <row r="95" spans="1:3" x14ac:dyDescent="0.25">
      <c r="A95" s="3" t="s">
        <v>57</v>
      </c>
      <c r="B95" s="3">
        <f>22*500+350+360+210+100</f>
        <v>12020</v>
      </c>
      <c r="C95" s="4"/>
    </row>
    <row r="96" spans="1:3" x14ac:dyDescent="0.25">
      <c r="A96" s="3" t="s">
        <v>107</v>
      </c>
      <c r="B96" s="3">
        <f>19*500+430+28*500+360+300+16*1500</f>
        <v>48590</v>
      </c>
      <c r="C96" s="4"/>
    </row>
    <row r="97" spans="1:3" x14ac:dyDescent="0.25">
      <c r="A97" s="3" t="s">
        <v>58</v>
      </c>
      <c r="B97" s="3">
        <f>7*500+200</f>
        <v>3700</v>
      </c>
      <c r="C97" s="4"/>
    </row>
    <row r="98" spans="1:3" x14ac:dyDescent="0.25">
      <c r="A98" s="3" t="s">
        <v>59</v>
      </c>
      <c r="B98" s="3">
        <f>2*400+4*1000</f>
        <v>4800</v>
      </c>
      <c r="C98" s="4"/>
    </row>
    <row r="99" spans="1:3" x14ac:dyDescent="0.25">
      <c r="A99" t="s">
        <v>102</v>
      </c>
      <c r="B99">
        <f>16*500</f>
        <v>8000</v>
      </c>
      <c r="C99"/>
    </row>
    <row r="100" spans="1:3" x14ac:dyDescent="0.25">
      <c r="A100" t="s">
        <v>60</v>
      </c>
      <c r="B100">
        <f>26*500+100+180</f>
        <v>13280</v>
      </c>
      <c r="C100"/>
    </row>
    <row r="101" spans="1:3" x14ac:dyDescent="0.25">
      <c r="A101" s="3" t="s">
        <v>61</v>
      </c>
      <c r="B101" s="3">
        <f>470+350+300+34*2500</f>
        <v>86120</v>
      </c>
      <c r="C101" s="4"/>
    </row>
    <row r="102" spans="1:3" x14ac:dyDescent="0.25">
      <c r="A102" s="3" t="s">
        <v>62</v>
      </c>
      <c r="B102" s="3">
        <f>500+100+3*1000</f>
        <v>3600</v>
      </c>
      <c r="C102" s="4"/>
    </row>
    <row r="103" spans="1:3" x14ac:dyDescent="0.25">
      <c r="A103" s="3" t="s">
        <v>63</v>
      </c>
      <c r="B103">
        <f>10*2500</f>
        <v>25000</v>
      </c>
      <c r="C103"/>
    </row>
    <row r="104" spans="1:3" x14ac:dyDescent="0.25">
      <c r="A104" t="s">
        <v>64</v>
      </c>
      <c r="B104">
        <f>11*2000</f>
        <v>22000</v>
      </c>
      <c r="C104"/>
    </row>
    <row r="105" spans="1:3" x14ac:dyDescent="0.25">
      <c r="A105" s="3" t="s">
        <v>108</v>
      </c>
      <c r="B105" s="3">
        <v>0</v>
      </c>
      <c r="C105" s="4"/>
    </row>
    <row r="106" spans="1:3" x14ac:dyDescent="0.25">
      <c r="A106" s="3" t="s">
        <v>109</v>
      </c>
      <c r="B106" s="3">
        <v>0</v>
      </c>
      <c r="C106" s="4"/>
    </row>
    <row r="107" spans="1:3" x14ac:dyDescent="0.25">
      <c r="A107" s="3" t="s">
        <v>110</v>
      </c>
      <c r="B107" s="3">
        <v>0</v>
      </c>
      <c r="C107" s="4"/>
    </row>
    <row r="108" spans="1:3" x14ac:dyDescent="0.25">
      <c r="A108" s="3" t="s">
        <v>111</v>
      </c>
      <c r="B108" s="3">
        <v>0</v>
      </c>
      <c r="C108" s="4"/>
    </row>
    <row r="109" spans="1:3" x14ac:dyDescent="0.25">
      <c r="A109" s="3" t="s">
        <v>112</v>
      </c>
      <c r="B109" s="3">
        <v>0</v>
      </c>
      <c r="C109" s="4"/>
    </row>
    <row r="110" spans="1:3" x14ac:dyDescent="0.25">
      <c r="A110" s="3" t="s">
        <v>113</v>
      </c>
      <c r="B110" s="3">
        <v>0</v>
      </c>
      <c r="C110" s="4"/>
    </row>
    <row r="111" spans="1:3" x14ac:dyDescent="0.25">
      <c r="A111" s="3" t="s">
        <v>114</v>
      </c>
      <c r="B111" s="3">
        <v>0</v>
      </c>
      <c r="C111" s="4"/>
    </row>
    <row r="112" spans="1:3" x14ac:dyDescent="0.25">
      <c r="A112" s="3" t="s">
        <v>115</v>
      </c>
      <c r="B112" s="3">
        <v>0</v>
      </c>
      <c r="C112" s="4"/>
    </row>
    <row r="113" spans="1:3" x14ac:dyDescent="0.25">
      <c r="A113" s="3" t="s">
        <v>116</v>
      </c>
      <c r="B113" s="3">
        <v>0</v>
      </c>
      <c r="C113" s="4"/>
    </row>
    <row r="114" spans="1:3" x14ac:dyDescent="0.25">
      <c r="A114" s="3" t="s">
        <v>117</v>
      </c>
      <c r="B114" s="3">
        <v>0</v>
      </c>
      <c r="C114" s="4"/>
    </row>
    <row r="115" spans="1:3" x14ac:dyDescent="0.25">
      <c r="A115" s="3" t="s">
        <v>118</v>
      </c>
      <c r="B115" s="3">
        <v>0</v>
      </c>
      <c r="C115" s="4"/>
    </row>
    <row r="116" spans="1:3" x14ac:dyDescent="0.25">
      <c r="A116" s="3" t="s">
        <v>119</v>
      </c>
      <c r="B116" s="3">
        <v>0</v>
      </c>
      <c r="C116" s="4"/>
    </row>
    <row r="117" spans="1:3" x14ac:dyDescent="0.25">
      <c r="A117" s="3" t="s">
        <v>120</v>
      </c>
      <c r="B117" s="3">
        <v>0</v>
      </c>
      <c r="C117" s="4"/>
    </row>
    <row r="118" spans="1:3" x14ac:dyDescent="0.25">
      <c r="A118" s="3" t="s">
        <v>121</v>
      </c>
      <c r="B118" s="3">
        <v>0</v>
      </c>
      <c r="C118" s="4"/>
    </row>
    <row r="119" spans="1:3" x14ac:dyDescent="0.25">
      <c r="A119" s="3" t="s">
        <v>122</v>
      </c>
      <c r="B119" s="3">
        <v>0</v>
      </c>
      <c r="C119" s="4"/>
    </row>
    <row r="120" spans="1:3" x14ac:dyDescent="0.25">
      <c r="A120" s="3" t="s">
        <v>123</v>
      </c>
      <c r="B120" s="3">
        <v>0</v>
      </c>
      <c r="C120" s="4" t="s">
        <v>124</v>
      </c>
    </row>
    <row r="121" spans="1:3" x14ac:dyDescent="0.25">
      <c r="A121" s="3" t="s">
        <v>123</v>
      </c>
      <c r="B121" s="3">
        <v>0</v>
      </c>
      <c r="C121" s="4" t="s">
        <v>125</v>
      </c>
    </row>
    <row r="122" spans="1:3" x14ac:dyDescent="0.25">
      <c r="A122" s="3" t="s">
        <v>123</v>
      </c>
      <c r="B122" s="3">
        <v>0</v>
      </c>
      <c r="C122" s="4" t="s">
        <v>126</v>
      </c>
    </row>
    <row r="123" spans="1:3" x14ac:dyDescent="0.25">
      <c r="A123" s="3" t="s">
        <v>127</v>
      </c>
      <c r="B123" s="3">
        <v>0</v>
      </c>
      <c r="C123" s="4" t="s">
        <v>128</v>
      </c>
    </row>
    <row r="124" spans="1:3" x14ac:dyDescent="0.25">
      <c r="A124" s="3" t="s">
        <v>127</v>
      </c>
      <c r="B124" s="3">
        <v>0</v>
      </c>
      <c r="C124" s="4" t="s">
        <v>124</v>
      </c>
    </row>
    <row r="125" spans="1:3" x14ac:dyDescent="0.25">
      <c r="A125" s="3" t="s">
        <v>127</v>
      </c>
      <c r="B125" s="3">
        <v>0</v>
      </c>
      <c r="C125" s="4" t="s">
        <v>125</v>
      </c>
    </row>
    <row r="126" spans="1:3" x14ac:dyDescent="0.25">
      <c r="A126" s="3" t="s">
        <v>129</v>
      </c>
      <c r="B126" s="3">
        <v>0</v>
      </c>
      <c r="C126" s="4"/>
    </row>
    <row r="127" spans="1:3" x14ac:dyDescent="0.25">
      <c r="A127" s="3" t="s">
        <v>130</v>
      </c>
      <c r="B127" s="3">
        <v>0</v>
      </c>
      <c r="C127" s="4"/>
    </row>
    <row r="128" spans="1:3" x14ac:dyDescent="0.25">
      <c r="A128" s="3" t="s">
        <v>131</v>
      </c>
      <c r="B128" s="3">
        <v>0</v>
      </c>
      <c r="C128" s="4"/>
    </row>
    <row r="129" spans="1:3" x14ac:dyDescent="0.25">
      <c r="A129" s="3" t="s">
        <v>132</v>
      </c>
      <c r="B129" s="3">
        <v>0</v>
      </c>
      <c r="C129" s="4"/>
    </row>
    <row r="130" spans="1:3" x14ac:dyDescent="0.25">
      <c r="A130" s="3" t="s">
        <v>105</v>
      </c>
      <c r="B130" s="3">
        <v>0</v>
      </c>
      <c r="C130" s="4"/>
    </row>
    <row r="131" spans="1:3" x14ac:dyDescent="0.25">
      <c r="A131" s="3" t="s">
        <v>133</v>
      </c>
      <c r="B131" s="3">
        <v>0</v>
      </c>
      <c r="C131" s="4">
        <v>46</v>
      </c>
    </row>
    <row r="132" spans="1:3" x14ac:dyDescent="0.25">
      <c r="A132" s="3" t="s">
        <v>134</v>
      </c>
      <c r="B132" s="3">
        <v>0</v>
      </c>
      <c r="C132" s="4" t="s">
        <v>135</v>
      </c>
    </row>
    <row r="133" spans="1:3" x14ac:dyDescent="0.25">
      <c r="A133" s="3" t="s">
        <v>134</v>
      </c>
      <c r="B133" s="3">
        <v>0</v>
      </c>
      <c r="C133" s="4" t="s">
        <v>28</v>
      </c>
    </row>
    <row r="134" spans="1:3" x14ac:dyDescent="0.25">
      <c r="A134" s="3" t="s">
        <v>136</v>
      </c>
      <c r="B134" s="3">
        <v>0</v>
      </c>
      <c r="C134" s="4"/>
    </row>
    <row r="135" spans="1:3" x14ac:dyDescent="0.25">
      <c r="A135" s="3" t="s">
        <v>134</v>
      </c>
      <c r="B135" s="3">
        <v>0</v>
      </c>
      <c r="C135" s="4" t="s">
        <v>137</v>
      </c>
    </row>
    <row r="136" spans="1:3" x14ac:dyDescent="0.25">
      <c r="A136" s="3" t="s">
        <v>134</v>
      </c>
      <c r="B136" s="3">
        <v>0</v>
      </c>
      <c r="C136" s="4" t="s">
        <v>26</v>
      </c>
    </row>
    <row r="137" spans="1:3" x14ac:dyDescent="0.25">
      <c r="A137" s="3" t="s">
        <v>134</v>
      </c>
      <c r="B137" s="3">
        <v>0</v>
      </c>
      <c r="C137" s="4" t="s">
        <v>25</v>
      </c>
    </row>
    <row r="138" spans="1:3" x14ac:dyDescent="0.25">
      <c r="A138" s="3" t="s">
        <v>134</v>
      </c>
      <c r="B138" s="3">
        <v>0</v>
      </c>
      <c r="C138" s="4" t="s">
        <v>71</v>
      </c>
    </row>
    <row r="139" spans="1:3" x14ac:dyDescent="0.25">
      <c r="A139" s="3" t="s">
        <v>138</v>
      </c>
      <c r="B139" s="3">
        <v>0</v>
      </c>
      <c r="C139" s="4"/>
    </row>
    <row r="140" spans="1:3" x14ac:dyDescent="0.25">
      <c r="A140" s="3" t="s">
        <v>139</v>
      </c>
      <c r="B140" s="3">
        <v>0</v>
      </c>
      <c r="C140" s="4"/>
    </row>
    <row r="141" spans="1:3" x14ac:dyDescent="0.25">
      <c r="A141" s="3" t="s">
        <v>140</v>
      </c>
      <c r="B141" s="3">
        <v>0</v>
      </c>
      <c r="C141" s="4"/>
    </row>
    <row r="142" spans="1:3" x14ac:dyDescent="0.25">
      <c r="A142" s="3" t="s">
        <v>141</v>
      </c>
      <c r="B142" s="3">
        <v>0</v>
      </c>
      <c r="C142" s="4"/>
    </row>
    <row r="143" spans="1:3" x14ac:dyDescent="0.25">
      <c r="A143" s="3" t="s">
        <v>142</v>
      </c>
      <c r="B143" s="3">
        <v>0</v>
      </c>
      <c r="C143" s="4"/>
    </row>
    <row r="144" spans="1:3" x14ac:dyDescent="0.25">
      <c r="A144" s="3" t="s">
        <v>143</v>
      </c>
      <c r="B144" s="3">
        <v>0</v>
      </c>
      <c r="C144" s="4"/>
    </row>
    <row r="145" spans="1:3" x14ac:dyDescent="0.25">
      <c r="A145" s="3" t="s">
        <v>144</v>
      </c>
      <c r="B145" s="3">
        <v>0</v>
      </c>
      <c r="C145" s="4"/>
    </row>
    <row r="146" spans="1:3" x14ac:dyDescent="0.25">
      <c r="A146" s="3" t="s">
        <v>145</v>
      </c>
      <c r="B146" s="3">
        <v>0</v>
      </c>
      <c r="C146" s="4"/>
    </row>
    <row r="147" spans="1:3" x14ac:dyDescent="0.25">
      <c r="A147" s="3" t="s">
        <v>146</v>
      </c>
      <c r="B147" s="3">
        <v>0</v>
      </c>
      <c r="C147" s="4"/>
    </row>
    <row r="148" spans="1:3" x14ac:dyDescent="0.25">
      <c r="A148" s="3" t="s">
        <v>147</v>
      </c>
      <c r="B148" s="3">
        <v>0</v>
      </c>
      <c r="C148" s="4"/>
    </row>
    <row r="149" spans="1:3" x14ac:dyDescent="0.25">
      <c r="A149" s="3" t="s">
        <v>148</v>
      </c>
      <c r="B149" s="3">
        <v>0</v>
      </c>
      <c r="C149" s="4"/>
    </row>
    <row r="150" spans="1:3" x14ac:dyDescent="0.25">
      <c r="A150" s="3" t="s">
        <v>149</v>
      </c>
      <c r="B150" s="3">
        <v>0</v>
      </c>
      <c r="C150" s="4"/>
    </row>
    <row r="151" spans="1:3" x14ac:dyDescent="0.25">
      <c r="A151" s="3" t="s">
        <v>150</v>
      </c>
      <c r="B151" s="3">
        <v>0</v>
      </c>
      <c r="C151" s="4"/>
    </row>
    <row r="152" spans="1:3" x14ac:dyDescent="0.25">
      <c r="A152" s="3" t="s">
        <v>151</v>
      </c>
      <c r="B152" s="3">
        <v>0</v>
      </c>
      <c r="C152" s="4"/>
    </row>
    <row r="153" spans="1:3" x14ac:dyDescent="0.25">
      <c r="A153" s="3" t="s">
        <v>152</v>
      </c>
      <c r="B153" s="3">
        <v>0</v>
      </c>
      <c r="C153" s="4"/>
    </row>
    <row r="154" spans="1:3" x14ac:dyDescent="0.25">
      <c r="A154" s="3" t="s">
        <v>153</v>
      </c>
      <c r="B154" s="3">
        <v>0</v>
      </c>
      <c r="C154" s="4"/>
    </row>
    <row r="155" spans="1:3" x14ac:dyDescent="0.25">
      <c r="A155" s="3" t="s">
        <v>154</v>
      </c>
      <c r="B155" s="3">
        <v>0</v>
      </c>
      <c r="C155" s="4"/>
    </row>
    <row r="156" spans="1:3" x14ac:dyDescent="0.25">
      <c r="A156" s="3" t="s">
        <v>155</v>
      </c>
      <c r="B156" s="3">
        <v>0</v>
      </c>
      <c r="C156" s="4"/>
    </row>
    <row r="157" spans="1:3" x14ac:dyDescent="0.25">
      <c r="A157" s="3" t="s">
        <v>156</v>
      </c>
      <c r="B157" s="3">
        <v>0</v>
      </c>
      <c r="C157" s="4"/>
    </row>
    <row r="158" spans="1:3" x14ac:dyDescent="0.25">
      <c r="A158" s="3" t="s">
        <v>157</v>
      </c>
      <c r="B158" s="3">
        <v>0</v>
      </c>
      <c r="C158" s="4"/>
    </row>
    <row r="159" spans="1:3" x14ac:dyDescent="0.25">
      <c r="A159" s="3" t="s">
        <v>158</v>
      </c>
      <c r="B159" s="3">
        <v>0</v>
      </c>
      <c r="C159" s="4"/>
    </row>
    <row r="160" spans="1:3" x14ac:dyDescent="0.25">
      <c r="A160" s="3" t="s">
        <v>159</v>
      </c>
      <c r="B160" s="3">
        <v>0</v>
      </c>
      <c r="C160" s="4"/>
    </row>
    <row r="161" spans="1:3" x14ac:dyDescent="0.25">
      <c r="A161" s="3" t="s">
        <v>160</v>
      </c>
      <c r="B161" s="3">
        <v>0</v>
      </c>
      <c r="C161" s="4"/>
    </row>
    <row r="162" spans="1:3" x14ac:dyDescent="0.25">
      <c r="A162" s="3" t="s">
        <v>161</v>
      </c>
      <c r="B162" s="3">
        <v>0</v>
      </c>
      <c r="C162" s="4"/>
    </row>
    <row r="163" spans="1:3" x14ac:dyDescent="0.25">
      <c r="A163" s="3" t="s">
        <v>162</v>
      </c>
      <c r="B163" s="3">
        <v>0</v>
      </c>
      <c r="C163" s="4"/>
    </row>
    <row r="164" spans="1:3" x14ac:dyDescent="0.25">
      <c r="A164" s="3" t="s">
        <v>123</v>
      </c>
      <c r="B164" s="3">
        <v>0</v>
      </c>
      <c r="C164" s="4" t="s">
        <v>163</v>
      </c>
    </row>
    <row r="165" spans="1:3" x14ac:dyDescent="0.25">
      <c r="A165" s="3" t="s">
        <v>123</v>
      </c>
      <c r="B165" s="3">
        <v>0</v>
      </c>
      <c r="C165" s="4" t="s">
        <v>164</v>
      </c>
    </row>
    <row r="166" spans="1:3" x14ac:dyDescent="0.25">
      <c r="A166" s="3" t="s">
        <v>123</v>
      </c>
      <c r="B166" s="3">
        <v>0</v>
      </c>
      <c r="C166" s="4" t="s">
        <v>165</v>
      </c>
    </row>
    <row r="167" spans="1:3" x14ac:dyDescent="0.25">
      <c r="A167" s="3" t="s">
        <v>123</v>
      </c>
      <c r="B167" s="3">
        <v>0</v>
      </c>
      <c r="C167" s="4" t="s">
        <v>166</v>
      </c>
    </row>
    <row r="168" spans="1:3" x14ac:dyDescent="0.25">
      <c r="A168" s="3" t="s">
        <v>123</v>
      </c>
      <c r="B168" s="3">
        <v>0</v>
      </c>
      <c r="C168" s="4" t="s">
        <v>167</v>
      </c>
    </row>
    <row r="169" spans="1:3" x14ac:dyDescent="0.25">
      <c r="A169" s="3" t="s">
        <v>123</v>
      </c>
      <c r="B169" s="3">
        <v>0</v>
      </c>
      <c r="C169" s="4" t="s">
        <v>168</v>
      </c>
    </row>
    <row r="170" spans="1:3" x14ac:dyDescent="0.25">
      <c r="A170" s="3" t="s">
        <v>123</v>
      </c>
      <c r="B170" s="3">
        <v>0</v>
      </c>
      <c r="C170" s="4" t="s">
        <v>169</v>
      </c>
    </row>
    <row r="171" spans="1:3" x14ac:dyDescent="0.25">
      <c r="A171" s="3" t="s">
        <v>170</v>
      </c>
      <c r="B171" s="3">
        <v>0</v>
      </c>
      <c r="C171" s="4"/>
    </row>
    <row r="172" spans="1:3" x14ac:dyDescent="0.25">
      <c r="A172" s="3" t="s">
        <v>171</v>
      </c>
      <c r="B172" s="3">
        <v>0</v>
      </c>
      <c r="C172" s="4"/>
    </row>
    <row r="173" spans="1:3" x14ac:dyDescent="0.25">
      <c r="A173" s="3" t="s">
        <v>172</v>
      </c>
      <c r="B173" s="3">
        <v>0</v>
      </c>
      <c r="C173" s="4"/>
    </row>
    <row r="174" spans="1:3" x14ac:dyDescent="0.25">
      <c r="A174" s="3" t="s">
        <v>173</v>
      </c>
      <c r="B174" s="3">
        <v>0</v>
      </c>
      <c r="C174" s="4"/>
    </row>
    <row r="175" spans="1:3" x14ac:dyDescent="0.25">
      <c r="A175" s="3" t="s">
        <v>174</v>
      </c>
      <c r="B175" s="3">
        <v>0</v>
      </c>
      <c r="C175" s="4"/>
    </row>
    <row r="176" spans="1:3" x14ac:dyDescent="0.25">
      <c r="A176" s="3" t="s">
        <v>175</v>
      </c>
      <c r="B176" s="3">
        <v>0</v>
      </c>
      <c r="C176" s="4"/>
    </row>
    <row r="177" spans="1:3" x14ac:dyDescent="0.25">
      <c r="A177" s="3" t="s">
        <v>176</v>
      </c>
      <c r="B177" s="3">
        <v>0</v>
      </c>
      <c r="C177" s="4"/>
    </row>
    <row r="178" spans="1:3" x14ac:dyDescent="0.25">
      <c r="A178" s="3" t="s">
        <v>177</v>
      </c>
      <c r="B178" s="3">
        <v>0</v>
      </c>
      <c r="C178" s="4"/>
    </row>
    <row r="179" spans="1:3" x14ac:dyDescent="0.25">
      <c r="A179" s="3" t="s">
        <v>178</v>
      </c>
      <c r="B179" s="3">
        <v>0</v>
      </c>
      <c r="C179" s="4"/>
    </row>
    <row r="180" spans="1:3" x14ac:dyDescent="0.25">
      <c r="A180" s="3" t="s">
        <v>179</v>
      </c>
      <c r="B180" s="3">
        <v>0</v>
      </c>
      <c r="C180" s="4"/>
    </row>
    <row r="181" spans="1:3" x14ac:dyDescent="0.25">
      <c r="A181" s="3" t="s">
        <v>180</v>
      </c>
      <c r="B181" s="3">
        <v>0</v>
      </c>
      <c r="C181" s="4"/>
    </row>
    <row r="182" spans="1:3" x14ac:dyDescent="0.25">
      <c r="A182" s="3" t="s">
        <v>181</v>
      </c>
      <c r="B182" s="3">
        <v>0</v>
      </c>
      <c r="C182" s="4"/>
    </row>
    <row r="183" spans="1:3" x14ac:dyDescent="0.25">
      <c r="A183" s="3" t="s">
        <v>182</v>
      </c>
      <c r="B183" s="3">
        <v>0</v>
      </c>
      <c r="C183" s="4"/>
    </row>
    <row r="184" spans="1:3" x14ac:dyDescent="0.25">
      <c r="A184" s="3" t="s">
        <v>183</v>
      </c>
      <c r="B184" s="3">
        <v>0</v>
      </c>
      <c r="C184" s="4"/>
    </row>
    <row r="185" spans="1:3" x14ac:dyDescent="0.25">
      <c r="A185" s="3" t="s">
        <v>184</v>
      </c>
      <c r="B185" s="3">
        <v>0</v>
      </c>
      <c r="C185" s="4"/>
    </row>
    <row r="186" spans="1:3" x14ac:dyDescent="0.25">
      <c r="A186" s="3" t="s">
        <v>185</v>
      </c>
      <c r="B186" s="3">
        <v>0</v>
      </c>
      <c r="C186" s="4"/>
    </row>
    <row r="187" spans="1:3" x14ac:dyDescent="0.25">
      <c r="A187" s="3" t="s">
        <v>186</v>
      </c>
      <c r="B187" s="3">
        <v>0</v>
      </c>
      <c r="C187" s="4"/>
    </row>
    <row r="188" spans="1:3" x14ac:dyDescent="0.25">
      <c r="A188" s="3" t="s">
        <v>187</v>
      </c>
      <c r="B188" s="3">
        <v>0</v>
      </c>
      <c r="C188" s="4"/>
    </row>
    <row r="189" spans="1:3" x14ac:dyDescent="0.25">
      <c r="A189" s="3" t="s">
        <v>188</v>
      </c>
      <c r="B189" s="3">
        <v>0</v>
      </c>
      <c r="C189" s="4"/>
    </row>
    <row r="190" spans="1:3" x14ac:dyDescent="0.25">
      <c r="A190" s="3" t="s">
        <v>133</v>
      </c>
      <c r="B190" s="3">
        <v>0</v>
      </c>
      <c r="C190" s="4">
        <v>44</v>
      </c>
    </row>
    <row r="191" spans="1:3" x14ac:dyDescent="0.25">
      <c r="A191" s="3" t="s">
        <v>189</v>
      </c>
      <c r="B191" s="3">
        <v>0</v>
      </c>
      <c r="C191" s="4"/>
    </row>
    <row r="192" spans="1:3" x14ac:dyDescent="0.25">
      <c r="A192" s="3" t="s">
        <v>190</v>
      </c>
      <c r="B192" s="3">
        <v>0</v>
      </c>
      <c r="C192" s="4"/>
    </row>
    <row r="193" spans="1:3" x14ac:dyDescent="0.25">
      <c r="A193" s="3" t="s">
        <v>191</v>
      </c>
      <c r="B193" s="3">
        <v>0</v>
      </c>
      <c r="C193" s="4"/>
    </row>
    <row r="194" spans="1:3" x14ac:dyDescent="0.25">
      <c r="A194" s="3" t="s">
        <v>134</v>
      </c>
      <c r="B194" s="3">
        <v>0</v>
      </c>
      <c r="C194" s="4" t="s">
        <v>27</v>
      </c>
    </row>
    <row r="195" spans="1:3" x14ac:dyDescent="0.25">
      <c r="A195" s="3" t="s">
        <v>192</v>
      </c>
      <c r="B195" s="3">
        <v>0</v>
      </c>
      <c r="C195" s="4"/>
    </row>
    <row r="196" spans="1:3" x14ac:dyDescent="0.25">
      <c r="A196" s="3" t="s">
        <v>193</v>
      </c>
      <c r="B196" s="3">
        <v>0</v>
      </c>
      <c r="C196" s="4"/>
    </row>
    <row r="197" spans="1:3" x14ac:dyDescent="0.25">
      <c r="A197" s="3" t="s">
        <v>194</v>
      </c>
      <c r="B197" s="3">
        <v>0</v>
      </c>
      <c r="C197" s="4"/>
    </row>
    <row r="198" spans="1:3" x14ac:dyDescent="0.25">
      <c r="A198" s="3" t="s">
        <v>195</v>
      </c>
      <c r="B198" s="3">
        <v>0</v>
      </c>
      <c r="C198" s="4"/>
    </row>
    <row r="199" spans="1:3" x14ac:dyDescent="0.25">
      <c r="A199" s="3" t="s">
        <v>196</v>
      </c>
      <c r="B199" s="3">
        <v>0</v>
      </c>
      <c r="C199" s="4"/>
    </row>
    <row r="200" spans="1:3" x14ac:dyDescent="0.25">
      <c r="A200" s="3" t="s">
        <v>197</v>
      </c>
      <c r="B200" s="3">
        <v>0</v>
      </c>
      <c r="C200" s="4"/>
    </row>
    <row r="201" spans="1:3" x14ac:dyDescent="0.25">
      <c r="A201" s="3" t="s">
        <v>198</v>
      </c>
      <c r="B201" s="3">
        <v>0</v>
      </c>
      <c r="C201" s="4"/>
    </row>
    <row r="202" spans="1:3" x14ac:dyDescent="0.25">
      <c r="A202" s="3" t="s">
        <v>199</v>
      </c>
      <c r="B202" s="3">
        <v>0</v>
      </c>
      <c r="C202" s="4"/>
    </row>
    <row r="203" spans="1:3" x14ac:dyDescent="0.25">
      <c r="A203" s="3" t="s">
        <v>134</v>
      </c>
      <c r="B203" s="3">
        <v>0</v>
      </c>
      <c r="C203" s="4"/>
    </row>
    <row r="204" spans="1:3" x14ac:dyDescent="0.25">
      <c r="A204" s="3" t="s">
        <v>133</v>
      </c>
      <c r="B204" s="3">
        <v>0</v>
      </c>
      <c r="C204" s="4" t="s">
        <v>200</v>
      </c>
    </row>
    <row r="205" spans="1:3" x14ac:dyDescent="0.25">
      <c r="A205" s="3" t="s">
        <v>201</v>
      </c>
      <c r="B205" s="3">
        <v>0</v>
      </c>
      <c r="C205" s="4" t="s">
        <v>27</v>
      </c>
    </row>
    <row r="206" spans="1:3" x14ac:dyDescent="0.25">
      <c r="A206" s="3" t="s">
        <v>201</v>
      </c>
      <c r="B206" s="3">
        <v>0</v>
      </c>
      <c r="C206" s="4" t="s">
        <v>28</v>
      </c>
    </row>
    <row r="207" spans="1:3" x14ac:dyDescent="0.25">
      <c r="A207" s="3" t="s">
        <v>202</v>
      </c>
      <c r="B207" s="3">
        <v>0</v>
      </c>
      <c r="C207" s="4"/>
    </row>
    <row r="208" spans="1:3" x14ac:dyDescent="0.25">
      <c r="A208" s="3" t="s">
        <v>203</v>
      </c>
      <c r="B208" s="3">
        <v>0</v>
      </c>
      <c r="C208" s="4"/>
    </row>
    <row r="209" spans="1:3" x14ac:dyDescent="0.25">
      <c r="A209" s="3" t="s">
        <v>204</v>
      </c>
      <c r="B209" s="3">
        <v>0</v>
      </c>
      <c r="C209" s="4">
        <v>32</v>
      </c>
    </row>
    <row r="210" spans="1:3" x14ac:dyDescent="0.25">
      <c r="A210" s="3" t="s">
        <v>204</v>
      </c>
      <c r="B210" s="3">
        <v>0</v>
      </c>
      <c r="C210" s="4">
        <v>34</v>
      </c>
    </row>
    <row r="211" spans="1:3" x14ac:dyDescent="0.25">
      <c r="A211" s="3" t="s">
        <v>204</v>
      </c>
      <c r="B211" s="3">
        <v>0</v>
      </c>
      <c r="C211" s="4">
        <v>38</v>
      </c>
    </row>
    <row r="212" spans="1:3" x14ac:dyDescent="0.25">
      <c r="A212" s="3" t="s">
        <v>204</v>
      </c>
      <c r="B212" s="3">
        <v>0</v>
      </c>
      <c r="C212" s="4">
        <v>30</v>
      </c>
    </row>
    <row r="213" spans="1:3" x14ac:dyDescent="0.25">
      <c r="A213" s="3" t="s">
        <v>204</v>
      </c>
      <c r="B213" s="3">
        <v>0</v>
      </c>
      <c r="C213" s="4">
        <v>40</v>
      </c>
    </row>
    <row r="214" spans="1:3" x14ac:dyDescent="0.25">
      <c r="A214" s="3" t="s">
        <v>204</v>
      </c>
      <c r="B214" s="3">
        <v>0</v>
      </c>
      <c r="C214" s="4">
        <v>42</v>
      </c>
    </row>
    <row r="215" spans="1:3" x14ac:dyDescent="0.25">
      <c r="A215" s="3" t="s">
        <v>205</v>
      </c>
      <c r="B215" s="3">
        <v>0</v>
      </c>
      <c r="C215" s="4"/>
    </row>
    <row r="216" spans="1:3" x14ac:dyDescent="0.25">
      <c r="A216" s="3" t="s">
        <v>206</v>
      </c>
      <c r="B216" s="3">
        <v>0</v>
      </c>
      <c r="C216" s="4"/>
    </row>
    <row r="217" spans="1:3" x14ac:dyDescent="0.25">
      <c r="A217" s="3" t="s">
        <v>207</v>
      </c>
      <c r="B217" s="3">
        <v>0</v>
      </c>
      <c r="C217" s="4"/>
    </row>
    <row r="218" spans="1:3" x14ac:dyDescent="0.25">
      <c r="A218" s="3" t="s">
        <v>208</v>
      </c>
      <c r="B218" s="3">
        <v>0</v>
      </c>
      <c r="C218" s="4"/>
    </row>
    <row r="219" spans="1:3" x14ac:dyDescent="0.25">
      <c r="A219" s="3" t="s">
        <v>209</v>
      </c>
      <c r="B219" s="3">
        <v>0</v>
      </c>
      <c r="C219" s="4"/>
    </row>
    <row r="220" spans="1:3" x14ac:dyDescent="0.25">
      <c r="A220" s="3" t="s">
        <v>210</v>
      </c>
      <c r="B220" s="3">
        <v>0</v>
      </c>
      <c r="C220" s="4"/>
    </row>
    <row r="221" spans="1:3" x14ac:dyDescent="0.25">
      <c r="A221" s="3" t="s">
        <v>211</v>
      </c>
      <c r="B221" s="3">
        <v>0</v>
      </c>
      <c r="C221" s="4"/>
    </row>
    <row r="222" spans="1:3" x14ac:dyDescent="0.25">
      <c r="A222" s="3" t="s">
        <v>212</v>
      </c>
      <c r="B222" s="3">
        <v>0</v>
      </c>
      <c r="C222" s="4"/>
    </row>
    <row r="223" spans="1:3" x14ac:dyDescent="0.25">
      <c r="A223" s="3" t="s">
        <v>213</v>
      </c>
      <c r="B223" s="3">
        <v>0</v>
      </c>
      <c r="C223" s="4"/>
    </row>
    <row r="224" spans="1:3" x14ac:dyDescent="0.25">
      <c r="A224" s="3" t="s">
        <v>214</v>
      </c>
      <c r="B224" s="3">
        <v>0</v>
      </c>
      <c r="C224" s="4"/>
    </row>
    <row r="225" spans="1:3" x14ac:dyDescent="0.25">
      <c r="A225" s="3" t="s">
        <v>215</v>
      </c>
      <c r="B225" s="3">
        <v>0</v>
      </c>
      <c r="C225" s="4"/>
    </row>
    <row r="226" spans="1:3" x14ac:dyDescent="0.25">
      <c r="A226" s="3" t="s">
        <v>216</v>
      </c>
      <c r="B226" s="3">
        <v>0</v>
      </c>
      <c r="C226" s="4"/>
    </row>
    <row r="227" spans="1:3" x14ac:dyDescent="0.25">
      <c r="A227" s="3" t="s">
        <v>217</v>
      </c>
      <c r="B227" s="3">
        <v>0</v>
      </c>
      <c r="C227" s="4"/>
    </row>
    <row r="228" spans="1:3" x14ac:dyDescent="0.25">
      <c r="A228" s="3" t="s">
        <v>218</v>
      </c>
      <c r="B228" s="3">
        <v>0</v>
      </c>
      <c r="C228" s="4"/>
    </row>
    <row r="229" spans="1:3" x14ac:dyDescent="0.25">
      <c r="A229" s="3" t="s">
        <v>219</v>
      </c>
      <c r="B229" s="3">
        <v>0</v>
      </c>
      <c r="C229" s="4"/>
    </row>
    <row r="230" spans="1:3" x14ac:dyDescent="0.25">
      <c r="A230" s="3" t="s">
        <v>220</v>
      </c>
      <c r="B230" s="3">
        <v>0</v>
      </c>
      <c r="C230" s="4"/>
    </row>
    <row r="231" spans="1:3" x14ac:dyDescent="0.25">
      <c r="A231" s="3" t="s">
        <v>221</v>
      </c>
      <c r="B231" s="3">
        <v>0</v>
      </c>
      <c r="C231" s="4"/>
    </row>
    <row r="232" spans="1:3" x14ac:dyDescent="0.25">
      <c r="A232" s="3" t="s">
        <v>222</v>
      </c>
      <c r="B232" s="3">
        <v>0</v>
      </c>
      <c r="C232" s="4"/>
    </row>
    <row r="233" spans="1:3" x14ac:dyDescent="0.25">
      <c r="A233" s="3" t="s">
        <v>223</v>
      </c>
      <c r="B233" s="3">
        <v>0</v>
      </c>
      <c r="C233" s="4"/>
    </row>
    <row r="234" spans="1:3" x14ac:dyDescent="0.25">
      <c r="A234" s="3" t="s">
        <v>224</v>
      </c>
      <c r="B234" s="3">
        <v>0</v>
      </c>
      <c r="C234" s="4"/>
    </row>
    <row r="235" spans="1:3" x14ac:dyDescent="0.25">
      <c r="A235" s="3" t="s">
        <v>225</v>
      </c>
      <c r="B235" s="3">
        <v>0</v>
      </c>
      <c r="C235" s="4"/>
    </row>
    <row r="236" spans="1:3" x14ac:dyDescent="0.25">
      <c r="A236" s="3" t="s">
        <v>226</v>
      </c>
      <c r="B236" s="3">
        <v>0</v>
      </c>
      <c r="C236" s="4"/>
    </row>
    <row r="237" spans="1:3" x14ac:dyDescent="0.25">
      <c r="A237" s="3" t="s">
        <v>227</v>
      </c>
      <c r="B237" s="3">
        <v>0</v>
      </c>
      <c r="C237" s="4"/>
    </row>
    <row r="238" spans="1:3" x14ac:dyDescent="0.25">
      <c r="A238" s="3" t="s">
        <v>228</v>
      </c>
      <c r="B238" s="3">
        <v>0</v>
      </c>
      <c r="C238" s="4"/>
    </row>
    <row r="239" spans="1:3" x14ac:dyDescent="0.25">
      <c r="A239" s="3" t="s">
        <v>229</v>
      </c>
      <c r="B239" s="3">
        <v>0</v>
      </c>
      <c r="C239" s="4"/>
    </row>
    <row r="240" spans="1:3" x14ac:dyDescent="0.25">
      <c r="A240" s="3" t="s">
        <v>230</v>
      </c>
      <c r="B240" s="3">
        <v>0</v>
      </c>
      <c r="C240" s="4"/>
    </row>
    <row r="241" spans="1:3" x14ac:dyDescent="0.25">
      <c r="A241" s="3" t="s">
        <v>231</v>
      </c>
      <c r="B241" s="3">
        <v>0</v>
      </c>
      <c r="C241" s="4"/>
    </row>
    <row r="242" spans="1:3" x14ac:dyDescent="0.25">
      <c r="A242" s="3" t="s">
        <v>232</v>
      </c>
      <c r="B242" s="3">
        <v>0</v>
      </c>
      <c r="C242" s="4"/>
    </row>
    <row r="243" spans="1:3" x14ac:dyDescent="0.25">
      <c r="A243" s="3" t="s">
        <v>233</v>
      </c>
      <c r="B243" s="3">
        <v>0</v>
      </c>
      <c r="C243" s="4"/>
    </row>
    <row r="244" spans="1:3" x14ac:dyDescent="0.25">
      <c r="A244" s="3" t="s">
        <v>234</v>
      </c>
      <c r="B244" s="3">
        <v>0</v>
      </c>
      <c r="C244" s="4" t="s">
        <v>167</v>
      </c>
    </row>
    <row r="245" spans="1:3" x14ac:dyDescent="0.25">
      <c r="A245" s="3" t="s">
        <v>234</v>
      </c>
      <c r="B245" s="3">
        <v>0</v>
      </c>
      <c r="C245" s="4" t="s">
        <v>166</v>
      </c>
    </row>
    <row r="246" spans="1:3" x14ac:dyDescent="0.25">
      <c r="A246" s="3" t="s">
        <v>234</v>
      </c>
      <c r="B246" s="3">
        <v>0</v>
      </c>
      <c r="C246" s="4" t="s">
        <v>235</v>
      </c>
    </row>
    <row r="247" spans="1:3" x14ac:dyDescent="0.25">
      <c r="A247" s="3" t="s">
        <v>234</v>
      </c>
      <c r="B247" s="3">
        <v>0</v>
      </c>
      <c r="C247" s="4" t="s">
        <v>164</v>
      </c>
    </row>
    <row r="248" spans="1:3" x14ac:dyDescent="0.25">
      <c r="A248" s="3" t="s">
        <v>234</v>
      </c>
      <c r="B248" s="3">
        <v>0</v>
      </c>
      <c r="C248" s="4" t="s">
        <v>168</v>
      </c>
    </row>
    <row r="249" spans="1:3" x14ac:dyDescent="0.25">
      <c r="A249" s="3" t="s">
        <v>234</v>
      </c>
      <c r="B249" s="3">
        <v>0</v>
      </c>
      <c r="C249" s="4" t="s">
        <v>236</v>
      </c>
    </row>
    <row r="250" spans="1:3" x14ac:dyDescent="0.25">
      <c r="A250" s="3" t="s">
        <v>237</v>
      </c>
      <c r="B250" s="3">
        <v>0</v>
      </c>
      <c r="C250" s="4"/>
    </row>
    <row r="251" spans="1:3" x14ac:dyDescent="0.25">
      <c r="A251" s="3" t="s">
        <v>238</v>
      </c>
      <c r="B251" s="3">
        <v>0</v>
      </c>
      <c r="C251" s="4"/>
    </row>
    <row r="252" spans="1:3" x14ac:dyDescent="0.25">
      <c r="A252" s="3" t="s">
        <v>239</v>
      </c>
      <c r="B252" s="3">
        <v>0</v>
      </c>
      <c r="C252" s="4"/>
    </row>
    <row r="253" spans="1:3" x14ac:dyDescent="0.25">
      <c r="A253" s="3" t="s">
        <v>240</v>
      </c>
      <c r="B253" s="3">
        <v>0</v>
      </c>
      <c r="C253" s="4"/>
    </row>
    <row r="254" spans="1:3" x14ac:dyDescent="0.25">
      <c r="A254" s="3" t="s">
        <v>241</v>
      </c>
      <c r="B254" s="3">
        <v>0</v>
      </c>
      <c r="C254" s="4"/>
    </row>
    <row r="255" spans="1:3" x14ac:dyDescent="0.25">
      <c r="A255" s="3" t="s">
        <v>242</v>
      </c>
      <c r="B255" s="3">
        <v>0</v>
      </c>
      <c r="C255" s="4"/>
    </row>
    <row r="256" spans="1:3" x14ac:dyDescent="0.25">
      <c r="A256" s="3" t="s">
        <v>243</v>
      </c>
      <c r="B256" s="3">
        <v>0</v>
      </c>
      <c r="C256" s="4"/>
    </row>
    <row r="257" spans="1:3" x14ac:dyDescent="0.25">
      <c r="A257" s="3" t="s">
        <v>244</v>
      </c>
      <c r="B257" s="3">
        <v>0</v>
      </c>
      <c r="C257" s="4"/>
    </row>
    <row r="258" spans="1:3" x14ac:dyDescent="0.25">
      <c r="A258" s="3" t="s">
        <v>245</v>
      </c>
      <c r="B258" s="3">
        <v>0</v>
      </c>
      <c r="C258" s="4"/>
    </row>
    <row r="259" spans="1:3" x14ac:dyDescent="0.25">
      <c r="A259" s="3" t="s">
        <v>246</v>
      </c>
      <c r="B259" s="3">
        <v>0</v>
      </c>
      <c r="C259" s="4"/>
    </row>
    <row r="260" spans="1:3" x14ac:dyDescent="0.25">
      <c r="A260" s="3" t="s">
        <v>247</v>
      </c>
      <c r="B260" s="3">
        <v>0</v>
      </c>
      <c r="C260" s="4"/>
    </row>
    <row r="261" spans="1:3" x14ac:dyDescent="0.25">
      <c r="A261" s="3" t="s">
        <v>248</v>
      </c>
      <c r="B261" s="3">
        <v>0</v>
      </c>
      <c r="C261" s="4"/>
    </row>
    <row r="262" spans="1:3" x14ac:dyDescent="0.25">
      <c r="A262" s="3" t="s">
        <v>249</v>
      </c>
      <c r="B262" s="3">
        <v>0</v>
      </c>
      <c r="C262" s="4"/>
    </row>
    <row r="263" spans="1:3" x14ac:dyDescent="0.25">
      <c r="A263" s="3" t="s">
        <v>250</v>
      </c>
      <c r="B263" s="3">
        <v>0</v>
      </c>
      <c r="C263" s="4"/>
    </row>
    <row r="264" spans="1:3" x14ac:dyDescent="0.25">
      <c r="A264" s="3" t="s">
        <v>251</v>
      </c>
      <c r="B264" s="3">
        <v>0</v>
      </c>
      <c r="C264" s="4"/>
    </row>
    <row r="265" spans="1:3" x14ac:dyDescent="0.25">
      <c r="A265" s="3" t="s">
        <v>252</v>
      </c>
      <c r="B265" s="3">
        <v>0</v>
      </c>
      <c r="C265" s="4"/>
    </row>
    <row r="266" spans="1:3" x14ac:dyDescent="0.25">
      <c r="A266" s="3" t="s">
        <v>253</v>
      </c>
      <c r="B266" s="3">
        <v>0</v>
      </c>
      <c r="C266" s="4"/>
    </row>
    <row r="267" spans="1:3" x14ac:dyDescent="0.25">
      <c r="A267" s="3" t="s">
        <v>254</v>
      </c>
      <c r="B267" s="3">
        <v>0</v>
      </c>
      <c r="C267" s="4"/>
    </row>
    <row r="268" spans="1:3" x14ac:dyDescent="0.25">
      <c r="A268" s="3" t="s">
        <v>255</v>
      </c>
      <c r="B268" s="3">
        <v>0</v>
      </c>
      <c r="C268" s="4"/>
    </row>
    <row r="269" spans="1:3" x14ac:dyDescent="0.25">
      <c r="A269" s="3" t="s">
        <v>256</v>
      </c>
      <c r="B269" s="3">
        <v>0</v>
      </c>
      <c r="C269" s="4"/>
    </row>
    <row r="270" spans="1:3" x14ac:dyDescent="0.25">
      <c r="A270" s="3" t="s">
        <v>257</v>
      </c>
      <c r="B270" s="3">
        <v>0</v>
      </c>
      <c r="C270" s="4"/>
    </row>
    <row r="271" spans="1:3" x14ac:dyDescent="0.25">
      <c r="A271" s="3" t="s">
        <v>258</v>
      </c>
      <c r="B271" s="3">
        <v>0</v>
      </c>
      <c r="C271" s="4"/>
    </row>
    <row r="272" spans="1:3" x14ac:dyDescent="0.25">
      <c r="A272" s="3" t="s">
        <v>259</v>
      </c>
      <c r="B272" s="3">
        <v>0</v>
      </c>
      <c r="C272" s="4"/>
    </row>
    <row r="273" spans="1:3" x14ac:dyDescent="0.25">
      <c r="A273" s="3" t="s">
        <v>260</v>
      </c>
      <c r="B273" s="3">
        <v>0</v>
      </c>
      <c r="C273" s="4"/>
    </row>
    <row r="274" spans="1:3" x14ac:dyDescent="0.25">
      <c r="A274" s="3" t="s">
        <v>261</v>
      </c>
      <c r="B274" s="3">
        <v>0</v>
      </c>
      <c r="C274" s="4"/>
    </row>
    <row r="275" spans="1:3" x14ac:dyDescent="0.25">
      <c r="A275" s="3" t="s">
        <v>262</v>
      </c>
      <c r="B275" s="3">
        <v>0</v>
      </c>
      <c r="C275" s="4"/>
    </row>
    <row r="276" spans="1:3" x14ac:dyDescent="0.25">
      <c r="A276" s="3" t="s">
        <v>263</v>
      </c>
      <c r="B276" s="3">
        <v>0</v>
      </c>
      <c r="C276" s="4"/>
    </row>
    <row r="277" spans="1:3" x14ac:dyDescent="0.25">
      <c r="A277" s="3" t="s">
        <v>264</v>
      </c>
      <c r="B277" s="3">
        <v>0</v>
      </c>
      <c r="C277" s="4"/>
    </row>
    <row r="278" spans="1:3" x14ac:dyDescent="0.25">
      <c r="A278" s="3" t="s">
        <v>265</v>
      </c>
      <c r="B278" s="3">
        <v>0</v>
      </c>
      <c r="C278" s="4"/>
    </row>
    <row r="279" spans="1:3" x14ac:dyDescent="0.25">
      <c r="A279" s="3" t="s">
        <v>266</v>
      </c>
      <c r="B279" s="3">
        <v>0</v>
      </c>
      <c r="C279" s="4" t="s">
        <v>267</v>
      </c>
    </row>
    <row r="280" spans="1:3" x14ac:dyDescent="0.25">
      <c r="A280" s="3" t="s">
        <v>266</v>
      </c>
      <c r="B280" s="3">
        <v>0</v>
      </c>
      <c r="C280" s="4" t="s">
        <v>268</v>
      </c>
    </row>
    <row r="281" spans="1:3" x14ac:dyDescent="0.25">
      <c r="A281" s="3" t="s">
        <v>266</v>
      </c>
      <c r="B281" s="3">
        <v>0</v>
      </c>
      <c r="C281" s="4" t="s">
        <v>269</v>
      </c>
    </row>
    <row r="282" spans="1:3" x14ac:dyDescent="0.25">
      <c r="A282" s="3" t="s">
        <v>266</v>
      </c>
      <c r="B282" s="3">
        <v>0</v>
      </c>
      <c r="C282" s="4" t="s">
        <v>270</v>
      </c>
    </row>
    <row r="283" spans="1:3" x14ac:dyDescent="0.25">
      <c r="A283" s="3" t="s">
        <v>266</v>
      </c>
      <c r="B283" s="3">
        <v>0</v>
      </c>
      <c r="C283" s="4" t="s">
        <v>271</v>
      </c>
    </row>
    <row r="284" spans="1:3" x14ac:dyDescent="0.25">
      <c r="A284" s="3" t="s">
        <v>272</v>
      </c>
      <c r="B284" s="3">
        <v>0</v>
      </c>
      <c r="C284" s="4"/>
    </row>
    <row r="285" spans="1:3" x14ac:dyDescent="0.25">
      <c r="A285" s="3" t="s">
        <v>273</v>
      </c>
      <c r="B285" s="3">
        <v>0</v>
      </c>
      <c r="C285" s="4"/>
    </row>
    <row r="286" spans="1:3" x14ac:dyDescent="0.25">
      <c r="A286" s="3" t="s">
        <v>274</v>
      </c>
      <c r="B286" s="3">
        <v>0</v>
      </c>
      <c r="C286" s="4"/>
    </row>
    <row r="287" spans="1:3" x14ac:dyDescent="0.25">
      <c r="A287" s="3" t="s">
        <v>275</v>
      </c>
      <c r="B287" s="3">
        <v>0</v>
      </c>
      <c r="C287" s="4"/>
    </row>
    <row r="288" spans="1:3" x14ac:dyDescent="0.25">
      <c r="A288" s="3" t="s">
        <v>276</v>
      </c>
      <c r="B288" s="3">
        <v>0</v>
      </c>
      <c r="C288" s="4"/>
    </row>
    <row r="289" spans="1:3" x14ac:dyDescent="0.25">
      <c r="A289" s="3" t="s">
        <v>277</v>
      </c>
      <c r="B289" s="3">
        <v>0</v>
      </c>
      <c r="C289" s="4"/>
    </row>
    <row r="290" spans="1:3" x14ac:dyDescent="0.25">
      <c r="A290" s="3" t="s">
        <v>278</v>
      </c>
      <c r="B290" s="3">
        <v>0</v>
      </c>
      <c r="C290" s="4"/>
    </row>
    <row r="291" spans="1:3" x14ac:dyDescent="0.25">
      <c r="A291" s="3" t="s">
        <v>279</v>
      </c>
      <c r="B291" s="3">
        <v>0</v>
      </c>
      <c r="C291" s="4"/>
    </row>
    <row r="292" spans="1:3" x14ac:dyDescent="0.25">
      <c r="A292" s="3" t="s">
        <v>280</v>
      </c>
      <c r="B292" s="3">
        <v>0</v>
      </c>
      <c r="C292" s="4"/>
    </row>
    <row r="293" spans="1:3" x14ac:dyDescent="0.25">
      <c r="A293" s="3" t="s">
        <v>281</v>
      </c>
      <c r="B293" s="3">
        <v>0</v>
      </c>
      <c r="C293" s="4"/>
    </row>
    <row r="294" spans="1:3" x14ac:dyDescent="0.25">
      <c r="A294" s="3" t="s">
        <v>282</v>
      </c>
      <c r="B294" s="3">
        <v>0</v>
      </c>
      <c r="C294" s="4"/>
    </row>
    <row r="295" spans="1:3" x14ac:dyDescent="0.25">
      <c r="A295" s="3" t="s">
        <v>283</v>
      </c>
      <c r="B295" s="3">
        <v>0</v>
      </c>
      <c r="C295" s="4"/>
    </row>
    <row r="296" spans="1:3" x14ac:dyDescent="0.25">
      <c r="A296" s="3" t="s">
        <v>284</v>
      </c>
      <c r="B296" s="3">
        <v>0</v>
      </c>
      <c r="C296" s="4"/>
    </row>
    <row r="297" spans="1:3" x14ac:dyDescent="0.25">
      <c r="A297" s="3" t="s">
        <v>285</v>
      </c>
      <c r="B297" s="3">
        <v>0</v>
      </c>
      <c r="C297" s="4"/>
    </row>
    <row r="298" spans="1:3" x14ac:dyDescent="0.25">
      <c r="A298" s="3" t="s">
        <v>286</v>
      </c>
      <c r="B298" s="3">
        <v>0</v>
      </c>
      <c r="C298" s="4"/>
    </row>
    <row r="299" spans="1:3" x14ac:dyDescent="0.25">
      <c r="A299" s="3" t="s">
        <v>287</v>
      </c>
      <c r="B299" s="3">
        <v>0</v>
      </c>
      <c r="C299" s="4"/>
    </row>
    <row r="300" spans="1:3" x14ac:dyDescent="0.25">
      <c r="A300" s="3" t="s">
        <v>288</v>
      </c>
      <c r="B300" s="3">
        <v>0</v>
      </c>
      <c r="C300" s="4"/>
    </row>
    <row r="301" spans="1:3" x14ac:dyDescent="0.25">
      <c r="A301" s="3" t="s">
        <v>289</v>
      </c>
      <c r="B301" s="3">
        <v>0</v>
      </c>
      <c r="C301" s="4"/>
    </row>
    <row r="302" spans="1:3" x14ac:dyDescent="0.25">
      <c r="A302" s="3" t="s">
        <v>290</v>
      </c>
      <c r="B302" s="3">
        <v>0</v>
      </c>
      <c r="C302" s="4"/>
    </row>
    <row r="303" spans="1:3" x14ac:dyDescent="0.25">
      <c r="A303" s="3" t="s">
        <v>291</v>
      </c>
      <c r="B303" s="3">
        <v>0</v>
      </c>
      <c r="C303" s="4"/>
    </row>
    <row r="304" spans="1:3" x14ac:dyDescent="0.25">
      <c r="A304" s="3" t="s">
        <v>292</v>
      </c>
      <c r="B304" s="3">
        <v>0</v>
      </c>
      <c r="C304" s="4"/>
    </row>
    <row r="305" spans="1:3" x14ac:dyDescent="0.25">
      <c r="A305" s="3" t="s">
        <v>293</v>
      </c>
      <c r="B305" s="3">
        <v>0</v>
      </c>
      <c r="C305" s="4"/>
    </row>
    <row r="306" spans="1:3" x14ac:dyDescent="0.25">
      <c r="A306" s="3" t="s">
        <v>294</v>
      </c>
      <c r="B306" s="3">
        <v>0</v>
      </c>
      <c r="C306" s="4"/>
    </row>
    <row r="307" spans="1:3" x14ac:dyDescent="0.25">
      <c r="A307" s="3" t="s">
        <v>295</v>
      </c>
      <c r="B307" s="3">
        <v>0</v>
      </c>
      <c r="C307" s="4"/>
    </row>
    <row r="308" spans="1:3" x14ac:dyDescent="0.25">
      <c r="A308" s="3" t="s">
        <v>296</v>
      </c>
      <c r="B308" s="3">
        <v>0</v>
      </c>
      <c r="C308" s="4"/>
    </row>
    <row r="309" spans="1:3" x14ac:dyDescent="0.25">
      <c r="A309" s="3" t="s">
        <v>297</v>
      </c>
      <c r="B309" s="3">
        <v>0</v>
      </c>
      <c r="C309" s="4"/>
    </row>
    <row r="310" spans="1:3" x14ac:dyDescent="0.25">
      <c r="A310" s="3" t="s">
        <v>298</v>
      </c>
      <c r="B310" s="3">
        <v>0</v>
      </c>
      <c r="C310" s="4"/>
    </row>
    <row r="311" spans="1:3" x14ac:dyDescent="0.25">
      <c r="A311" s="3" t="s">
        <v>299</v>
      </c>
      <c r="B311" s="3">
        <v>0</v>
      </c>
      <c r="C311" s="4"/>
    </row>
    <row r="312" spans="1:3" x14ac:dyDescent="0.25">
      <c r="A312" s="3" t="s">
        <v>300</v>
      </c>
      <c r="B312" s="3">
        <v>0</v>
      </c>
      <c r="C312" s="4"/>
    </row>
    <row r="313" spans="1:3" x14ac:dyDescent="0.25">
      <c r="A313" s="3" t="s">
        <v>301</v>
      </c>
      <c r="B313" s="3">
        <v>0</v>
      </c>
      <c r="C313" s="4"/>
    </row>
    <row r="314" spans="1:3" x14ac:dyDescent="0.25">
      <c r="A314" s="3" t="s">
        <v>302</v>
      </c>
      <c r="B314" s="3">
        <v>0</v>
      </c>
      <c r="C314" s="4"/>
    </row>
    <row r="315" spans="1:3" x14ac:dyDescent="0.25">
      <c r="A315" s="3" t="s">
        <v>303</v>
      </c>
      <c r="B315" s="3">
        <v>0</v>
      </c>
      <c r="C315" s="4"/>
    </row>
    <row r="316" spans="1:3" x14ac:dyDescent="0.25">
      <c r="A316" s="3" t="s">
        <v>304</v>
      </c>
      <c r="B316" s="3">
        <v>0</v>
      </c>
      <c r="C316" s="4"/>
    </row>
    <row r="317" spans="1:3" x14ac:dyDescent="0.25">
      <c r="A317" s="3" t="s">
        <v>305</v>
      </c>
      <c r="B317" s="3">
        <v>0</v>
      </c>
      <c r="C317" s="4"/>
    </row>
    <row r="318" spans="1:3" x14ac:dyDescent="0.25">
      <c r="A318" s="3" t="s">
        <v>306</v>
      </c>
      <c r="B318" s="3">
        <v>0</v>
      </c>
      <c r="C318" s="4"/>
    </row>
    <row r="319" spans="1:3" x14ac:dyDescent="0.25">
      <c r="A319" s="3" t="s">
        <v>307</v>
      </c>
      <c r="B319" s="3">
        <v>0</v>
      </c>
      <c r="C319" s="4"/>
    </row>
    <row r="320" spans="1:3" x14ac:dyDescent="0.25">
      <c r="A320" s="3" t="s">
        <v>308</v>
      </c>
      <c r="B320" s="3">
        <v>0</v>
      </c>
      <c r="C320" s="4"/>
    </row>
    <row r="321" spans="1:3" x14ac:dyDescent="0.25">
      <c r="A321" s="3" t="s">
        <v>309</v>
      </c>
      <c r="B321" s="3">
        <v>0</v>
      </c>
      <c r="C321" s="4"/>
    </row>
    <row r="322" spans="1:3" x14ac:dyDescent="0.25">
      <c r="A322" s="3" t="s">
        <v>310</v>
      </c>
      <c r="B322" s="3">
        <v>0</v>
      </c>
      <c r="C322" s="4"/>
    </row>
    <row r="323" spans="1:3" x14ac:dyDescent="0.25">
      <c r="A323" s="3" t="s">
        <v>311</v>
      </c>
      <c r="B323" s="3">
        <v>0</v>
      </c>
      <c r="C323" s="4"/>
    </row>
    <row r="324" spans="1:3" x14ac:dyDescent="0.25">
      <c r="A324" s="3" t="s">
        <v>312</v>
      </c>
      <c r="B324" s="3">
        <v>0</v>
      </c>
      <c r="C324" s="4"/>
    </row>
    <row r="325" spans="1:3" x14ac:dyDescent="0.25">
      <c r="A325" s="3" t="s">
        <v>313</v>
      </c>
      <c r="B325" s="3">
        <v>0</v>
      </c>
      <c r="C325" s="4"/>
    </row>
    <row r="326" spans="1:3" x14ac:dyDescent="0.25">
      <c r="A326" s="3" t="s">
        <v>314</v>
      </c>
      <c r="B326" s="3">
        <v>0</v>
      </c>
      <c r="C326" s="4"/>
    </row>
    <row r="327" spans="1:3" x14ac:dyDescent="0.25">
      <c r="A327" s="3" t="s">
        <v>315</v>
      </c>
      <c r="B327" s="3">
        <v>0</v>
      </c>
      <c r="C327" s="4"/>
    </row>
    <row r="328" spans="1:3" x14ac:dyDescent="0.25">
      <c r="A328" s="3" t="s">
        <v>316</v>
      </c>
      <c r="B328" s="3">
        <v>0</v>
      </c>
      <c r="C328" s="4"/>
    </row>
    <row r="329" spans="1:3" x14ac:dyDescent="0.25">
      <c r="A329" s="3" t="s">
        <v>317</v>
      </c>
      <c r="B329" s="3">
        <v>0</v>
      </c>
      <c r="C329" s="4"/>
    </row>
    <row r="330" spans="1:3" x14ac:dyDescent="0.25">
      <c r="A330" s="3" t="s">
        <v>318</v>
      </c>
      <c r="B330" s="3">
        <v>0</v>
      </c>
      <c r="C330" s="4"/>
    </row>
    <row r="331" spans="1:3" x14ac:dyDescent="0.25">
      <c r="A331" s="3" t="s">
        <v>319</v>
      </c>
      <c r="B331" s="3">
        <v>0</v>
      </c>
      <c r="C331" s="4"/>
    </row>
    <row r="332" spans="1:3" x14ac:dyDescent="0.25">
      <c r="A332" s="3" t="s">
        <v>320</v>
      </c>
      <c r="B332" s="3">
        <v>0</v>
      </c>
      <c r="C332" s="4"/>
    </row>
    <row r="333" spans="1:3" x14ac:dyDescent="0.25">
      <c r="A333" s="3" t="s">
        <v>321</v>
      </c>
      <c r="B333" s="3">
        <v>0</v>
      </c>
      <c r="C333" s="4"/>
    </row>
    <row r="334" spans="1:3" x14ac:dyDescent="0.25">
      <c r="A334" s="3" t="s">
        <v>322</v>
      </c>
      <c r="B334" s="3">
        <v>0</v>
      </c>
      <c r="C334" s="4"/>
    </row>
    <row r="335" spans="1:3" x14ac:dyDescent="0.25">
      <c r="A335" s="3" t="s">
        <v>323</v>
      </c>
      <c r="B335" s="3">
        <v>0</v>
      </c>
      <c r="C335" s="4"/>
    </row>
    <row r="336" spans="1:3" x14ac:dyDescent="0.25">
      <c r="A336" s="3" t="s">
        <v>324</v>
      </c>
      <c r="B336" s="3">
        <v>0</v>
      </c>
      <c r="C336" s="4"/>
    </row>
    <row r="337" spans="1:3" x14ac:dyDescent="0.25">
      <c r="A337" s="3" t="s">
        <v>325</v>
      </c>
      <c r="B337" s="3">
        <v>0</v>
      </c>
      <c r="C337" s="4"/>
    </row>
    <row r="338" spans="1:3" x14ac:dyDescent="0.25">
      <c r="A338" s="3" t="s">
        <v>326</v>
      </c>
      <c r="B338" s="3">
        <v>0</v>
      </c>
      <c r="C338" s="4"/>
    </row>
    <row r="339" spans="1:3" x14ac:dyDescent="0.25">
      <c r="A339" s="3" t="s">
        <v>327</v>
      </c>
      <c r="B339" s="3">
        <v>0</v>
      </c>
      <c r="C339" s="4"/>
    </row>
    <row r="340" spans="1:3" x14ac:dyDescent="0.25">
      <c r="A340" s="3" t="s">
        <v>328</v>
      </c>
      <c r="B340" s="3">
        <v>0</v>
      </c>
      <c r="C340" s="4"/>
    </row>
    <row r="341" spans="1:3" x14ac:dyDescent="0.25">
      <c r="A341" s="3" t="s">
        <v>329</v>
      </c>
      <c r="B341" s="3">
        <v>0</v>
      </c>
      <c r="C341" s="4"/>
    </row>
    <row r="342" spans="1:3" x14ac:dyDescent="0.25">
      <c r="A342" s="3" t="s">
        <v>330</v>
      </c>
      <c r="B342" s="3">
        <v>0</v>
      </c>
      <c r="C342" s="4"/>
    </row>
    <row r="343" spans="1:3" x14ac:dyDescent="0.25">
      <c r="A343" s="3" t="s">
        <v>331</v>
      </c>
      <c r="B343" s="3">
        <v>0</v>
      </c>
      <c r="C343" s="4"/>
    </row>
    <row r="344" spans="1:3" x14ac:dyDescent="0.25">
      <c r="A344" s="3" t="s">
        <v>331</v>
      </c>
      <c r="B344" s="3">
        <v>0</v>
      </c>
      <c r="C344" s="4" t="s">
        <v>332</v>
      </c>
    </row>
    <row r="345" spans="1:3" x14ac:dyDescent="0.25">
      <c r="A345" s="3" t="s">
        <v>333</v>
      </c>
      <c r="B345" s="3">
        <v>0</v>
      </c>
      <c r="C345" s="4"/>
    </row>
    <row r="346" spans="1:3" x14ac:dyDescent="0.25">
      <c r="A346" s="3" t="s">
        <v>334</v>
      </c>
      <c r="B346" s="3">
        <v>0</v>
      </c>
      <c r="C346" s="4"/>
    </row>
    <row r="347" spans="1:3" x14ac:dyDescent="0.25">
      <c r="A347" s="3" t="s">
        <v>335</v>
      </c>
      <c r="B347" s="3">
        <v>0</v>
      </c>
      <c r="C347" s="4"/>
    </row>
    <row r="348" spans="1:3" x14ac:dyDescent="0.25">
      <c r="A348" s="3" t="s">
        <v>336</v>
      </c>
      <c r="B348" s="3">
        <v>0</v>
      </c>
      <c r="C348" s="4"/>
    </row>
    <row r="349" spans="1:3" x14ac:dyDescent="0.25">
      <c r="A349" s="3" t="s">
        <v>337</v>
      </c>
      <c r="B349" s="3">
        <v>0</v>
      </c>
      <c r="C349" s="4"/>
    </row>
    <row r="350" spans="1:3" x14ac:dyDescent="0.25">
      <c r="A350" s="3" t="s">
        <v>338</v>
      </c>
      <c r="B350" s="3">
        <v>0</v>
      </c>
      <c r="C350" s="4"/>
    </row>
    <row r="351" spans="1:3" x14ac:dyDescent="0.25">
      <c r="A351" s="3" t="s">
        <v>339</v>
      </c>
      <c r="B351" s="3">
        <v>0</v>
      </c>
      <c r="C351" s="4"/>
    </row>
    <row r="352" spans="1:3" x14ac:dyDescent="0.25">
      <c r="A352" s="3" t="s">
        <v>340</v>
      </c>
      <c r="B352" s="3">
        <v>0</v>
      </c>
      <c r="C352" s="4"/>
    </row>
    <row r="353" spans="1:3" x14ac:dyDescent="0.25">
      <c r="A353" s="3" t="s">
        <v>341</v>
      </c>
      <c r="B353" s="3">
        <v>0</v>
      </c>
      <c r="C353" s="4"/>
    </row>
    <row r="354" spans="1:3" x14ac:dyDescent="0.25">
      <c r="A354" s="3" t="s">
        <v>342</v>
      </c>
      <c r="B354" s="3">
        <v>0</v>
      </c>
      <c r="C354" s="4"/>
    </row>
    <row r="355" spans="1:3" x14ac:dyDescent="0.25">
      <c r="A355" s="3" t="s">
        <v>343</v>
      </c>
      <c r="B355" s="3">
        <v>0</v>
      </c>
      <c r="C355" s="4"/>
    </row>
    <row r="356" spans="1:3" x14ac:dyDescent="0.25">
      <c r="A356" s="3" t="s">
        <v>344</v>
      </c>
      <c r="B356" s="3">
        <v>0</v>
      </c>
      <c r="C356" s="4"/>
    </row>
    <row r="357" spans="1:3" x14ac:dyDescent="0.25">
      <c r="A357" s="3" t="s">
        <v>345</v>
      </c>
      <c r="B357" s="3">
        <v>0</v>
      </c>
      <c r="C357" s="4"/>
    </row>
    <row r="358" spans="1:3" x14ac:dyDescent="0.25">
      <c r="A358" s="3" t="s">
        <v>346</v>
      </c>
      <c r="B358" s="3">
        <v>0</v>
      </c>
      <c r="C358" s="4"/>
    </row>
    <row r="359" spans="1:3" x14ac:dyDescent="0.25">
      <c r="A359" s="3" t="s">
        <v>347</v>
      </c>
      <c r="B359" s="3">
        <v>0</v>
      </c>
      <c r="C359" s="4"/>
    </row>
    <row r="360" spans="1:3" x14ac:dyDescent="0.25">
      <c r="A360" s="3" t="s">
        <v>348</v>
      </c>
      <c r="B360" s="3">
        <v>0</v>
      </c>
      <c r="C360" s="4"/>
    </row>
    <row r="361" spans="1:3" x14ac:dyDescent="0.25">
      <c r="A361" s="3" t="s">
        <v>349</v>
      </c>
      <c r="B361" s="3">
        <v>0</v>
      </c>
      <c r="C361" s="4"/>
    </row>
    <row r="362" spans="1:3" x14ac:dyDescent="0.25">
      <c r="A362" s="3" t="s">
        <v>350</v>
      </c>
      <c r="B362" s="3">
        <v>0</v>
      </c>
      <c r="C362" s="4"/>
    </row>
    <row r="363" spans="1:3" x14ac:dyDescent="0.25">
      <c r="A363" s="3" t="s">
        <v>351</v>
      </c>
      <c r="B363" s="3">
        <v>0</v>
      </c>
      <c r="C363" s="4"/>
    </row>
    <row r="364" spans="1:3" x14ac:dyDescent="0.25">
      <c r="A364" s="3" t="s">
        <v>352</v>
      </c>
      <c r="B364" s="3">
        <v>0</v>
      </c>
      <c r="C364" s="4"/>
    </row>
    <row r="365" spans="1:3" x14ac:dyDescent="0.25">
      <c r="A365" s="3" t="s">
        <v>353</v>
      </c>
      <c r="B365" s="3">
        <v>0</v>
      </c>
      <c r="C365" s="4"/>
    </row>
    <row r="366" spans="1:3" x14ac:dyDescent="0.25">
      <c r="A366" s="3" t="s">
        <v>354</v>
      </c>
      <c r="B366" s="3">
        <v>0</v>
      </c>
      <c r="C366" s="4"/>
    </row>
    <row r="367" spans="1:3" x14ac:dyDescent="0.25">
      <c r="A367" s="3" t="s">
        <v>355</v>
      </c>
      <c r="B367" s="3">
        <v>0</v>
      </c>
      <c r="C367" s="4"/>
    </row>
    <row r="368" spans="1:3" x14ac:dyDescent="0.25">
      <c r="A368" s="3" t="s">
        <v>356</v>
      </c>
      <c r="B368" s="3">
        <v>0</v>
      </c>
      <c r="C368" s="4"/>
    </row>
    <row r="369" spans="1:3" x14ac:dyDescent="0.25">
      <c r="A369" s="3" t="s">
        <v>357</v>
      </c>
      <c r="B369" s="3">
        <v>0</v>
      </c>
      <c r="C369" s="4"/>
    </row>
    <row r="370" spans="1:3" x14ac:dyDescent="0.25">
      <c r="A370" s="3" t="s">
        <v>358</v>
      </c>
      <c r="B370" s="3">
        <v>0</v>
      </c>
      <c r="C370" s="4"/>
    </row>
    <row r="371" spans="1:3" x14ac:dyDescent="0.25">
      <c r="A371" s="3" t="s">
        <v>359</v>
      </c>
      <c r="B371" s="3">
        <v>0</v>
      </c>
      <c r="C371" s="4">
        <v>0</v>
      </c>
    </row>
    <row r="372" spans="1:3" x14ac:dyDescent="0.25">
      <c r="A372" s="3" t="s">
        <v>359</v>
      </c>
      <c r="B372" s="3">
        <v>0</v>
      </c>
      <c r="C372" s="4"/>
    </row>
    <row r="373" spans="1:3" x14ac:dyDescent="0.25">
      <c r="A373" s="3" t="s">
        <v>360</v>
      </c>
      <c r="B373" s="3">
        <v>0</v>
      </c>
      <c r="C373" s="4"/>
    </row>
    <row r="374" spans="1:3" x14ac:dyDescent="0.25">
      <c r="A374" s="3" t="s">
        <v>361</v>
      </c>
      <c r="B374" s="3">
        <v>0</v>
      </c>
      <c r="C374" s="4"/>
    </row>
    <row r="375" spans="1:3" x14ac:dyDescent="0.25">
      <c r="A375" s="3" t="s">
        <v>362</v>
      </c>
      <c r="B375" s="3">
        <v>0</v>
      </c>
      <c r="C375" s="4"/>
    </row>
    <row r="376" spans="1:3" x14ac:dyDescent="0.25">
      <c r="A376" s="3" t="s">
        <v>363</v>
      </c>
      <c r="B376" s="3">
        <v>0</v>
      </c>
      <c r="C376" s="4"/>
    </row>
    <row r="377" spans="1:3" x14ac:dyDescent="0.25">
      <c r="B377" s="3">
        <v>0</v>
      </c>
      <c r="C377" s="2"/>
    </row>
    <row r="378" spans="1:3" x14ac:dyDescent="0.25">
      <c r="A378" s="3" t="s">
        <v>364</v>
      </c>
      <c r="B378" s="3">
        <v>0</v>
      </c>
      <c r="C378" s="4"/>
    </row>
    <row r="379" spans="1:3" x14ac:dyDescent="0.25">
      <c r="A379" s="3" t="s">
        <v>365</v>
      </c>
      <c r="B379" s="3">
        <v>0</v>
      </c>
      <c r="C379" s="4"/>
    </row>
    <row r="380" spans="1:3" x14ac:dyDescent="0.25">
      <c r="A380" s="3" t="s">
        <v>366</v>
      </c>
      <c r="B380" s="3">
        <v>0</v>
      </c>
      <c r="C380" s="4"/>
    </row>
    <row r="381" spans="1:3" x14ac:dyDescent="0.25">
      <c r="A381" s="3" t="s">
        <v>367</v>
      </c>
      <c r="B381" s="3">
        <v>0</v>
      </c>
      <c r="C381" s="4"/>
    </row>
    <row r="382" spans="1:3" x14ac:dyDescent="0.25">
      <c r="A382" s="3" t="s">
        <v>368</v>
      </c>
      <c r="B382" s="3">
        <v>0</v>
      </c>
      <c r="C382" s="4"/>
    </row>
    <row r="383" spans="1:3" x14ac:dyDescent="0.25">
      <c r="A383" s="3" t="s">
        <v>369</v>
      </c>
      <c r="B383" s="3">
        <v>0</v>
      </c>
      <c r="C383" s="4"/>
    </row>
    <row r="384" spans="1:3" x14ac:dyDescent="0.25">
      <c r="A384" s="3" t="s">
        <v>370</v>
      </c>
      <c r="B384" s="3">
        <v>0</v>
      </c>
      <c r="C384" s="4"/>
    </row>
    <row r="385" spans="1:3" x14ac:dyDescent="0.25">
      <c r="A385" s="3" t="s">
        <v>371</v>
      </c>
      <c r="B385" s="3">
        <v>0</v>
      </c>
      <c r="C385" s="4"/>
    </row>
    <row r="386" spans="1:3" x14ac:dyDescent="0.25">
      <c r="A386" s="3" t="s">
        <v>372</v>
      </c>
      <c r="B386" s="3">
        <v>0</v>
      </c>
      <c r="C386" s="4"/>
    </row>
    <row r="387" spans="1:3" x14ac:dyDescent="0.25">
      <c r="A387" s="3" t="s">
        <v>373</v>
      </c>
      <c r="B387" s="3">
        <v>0</v>
      </c>
      <c r="C387" s="4"/>
    </row>
    <row r="388" spans="1:3" x14ac:dyDescent="0.25">
      <c r="A388" s="3" t="s">
        <v>374</v>
      </c>
      <c r="B388" s="3">
        <v>0</v>
      </c>
      <c r="C388" s="4"/>
    </row>
    <row r="389" spans="1:3" x14ac:dyDescent="0.25">
      <c r="A389" s="3" t="s">
        <v>375</v>
      </c>
      <c r="B389" s="3">
        <v>0</v>
      </c>
      <c r="C389" s="4"/>
    </row>
    <row r="390" spans="1:3" x14ac:dyDescent="0.25">
      <c r="A390" s="3" t="s">
        <v>376</v>
      </c>
      <c r="B390" s="3">
        <v>0</v>
      </c>
      <c r="C390" s="4"/>
    </row>
    <row r="391" spans="1:3" x14ac:dyDescent="0.25">
      <c r="A391" s="3" t="s">
        <v>377</v>
      </c>
      <c r="B391" s="3">
        <v>0</v>
      </c>
      <c r="C391" s="4"/>
    </row>
    <row r="392" spans="1:3" x14ac:dyDescent="0.25">
      <c r="A392" s="3" t="s">
        <v>378</v>
      </c>
      <c r="B392" s="3">
        <v>0</v>
      </c>
      <c r="C392" s="4"/>
    </row>
    <row r="393" spans="1:3" x14ac:dyDescent="0.25">
      <c r="A393" s="3" t="s">
        <v>379</v>
      </c>
      <c r="B393" s="3">
        <v>0</v>
      </c>
      <c r="C393" s="4"/>
    </row>
    <row r="394" spans="1:3" x14ac:dyDescent="0.25">
      <c r="A394" s="3" t="s">
        <v>380</v>
      </c>
      <c r="B394" s="3">
        <v>0</v>
      </c>
      <c r="C394" s="4"/>
    </row>
    <row r="395" spans="1:3" x14ac:dyDescent="0.25">
      <c r="A395" s="3" t="s">
        <v>381</v>
      </c>
      <c r="B395" s="3">
        <v>0</v>
      </c>
      <c r="C395" s="4"/>
    </row>
    <row r="396" spans="1:3" x14ac:dyDescent="0.25">
      <c r="A396" s="3" t="s">
        <v>379</v>
      </c>
      <c r="B396" s="3">
        <v>0</v>
      </c>
      <c r="C396" s="4">
        <v>3</v>
      </c>
    </row>
    <row r="397" spans="1:3" x14ac:dyDescent="0.25">
      <c r="A397" s="3" t="s">
        <v>382</v>
      </c>
      <c r="B397" s="3">
        <v>0</v>
      </c>
      <c r="C397" s="4"/>
    </row>
    <row r="398" spans="1:3" x14ac:dyDescent="0.25">
      <c r="A398" s="3" t="s">
        <v>383</v>
      </c>
      <c r="B398" s="3">
        <v>0</v>
      </c>
      <c r="C398" s="4"/>
    </row>
    <row r="399" spans="1:3" x14ac:dyDescent="0.25">
      <c r="A399" s="3" t="s">
        <v>384</v>
      </c>
      <c r="B399" s="3">
        <v>0</v>
      </c>
      <c r="C399" s="4"/>
    </row>
    <row r="400" spans="1:3" x14ac:dyDescent="0.25">
      <c r="A400" s="3" t="s">
        <v>385</v>
      </c>
      <c r="B400" s="3">
        <v>0</v>
      </c>
      <c r="C400" s="4"/>
    </row>
    <row r="401" spans="1:3" x14ac:dyDescent="0.25">
      <c r="A401" s="3" t="s">
        <v>386</v>
      </c>
      <c r="B401" s="3">
        <v>0</v>
      </c>
      <c r="C401" s="4"/>
    </row>
    <row r="402" spans="1:3" x14ac:dyDescent="0.25">
      <c r="A402" s="3" t="s">
        <v>387</v>
      </c>
      <c r="B402" s="3">
        <v>0</v>
      </c>
      <c r="C402" s="4"/>
    </row>
    <row r="403" spans="1:3" x14ac:dyDescent="0.25">
      <c r="A403" s="3" t="s">
        <v>388</v>
      </c>
      <c r="B403" s="3">
        <v>0</v>
      </c>
      <c r="C403" s="4"/>
    </row>
    <row r="404" spans="1:3" x14ac:dyDescent="0.25">
      <c r="A404" s="3" t="s">
        <v>389</v>
      </c>
      <c r="B404" s="3">
        <v>0</v>
      </c>
      <c r="C404" s="4"/>
    </row>
    <row r="405" spans="1:3" x14ac:dyDescent="0.25">
      <c r="A405" s="3" t="s">
        <v>390</v>
      </c>
      <c r="B405" s="3">
        <v>0</v>
      </c>
      <c r="C405" s="4"/>
    </row>
    <row r="406" spans="1:3" x14ac:dyDescent="0.25">
      <c r="A406" s="3" t="s">
        <v>391</v>
      </c>
      <c r="B406" s="3">
        <v>0</v>
      </c>
      <c r="C406" s="4"/>
    </row>
    <row r="407" spans="1:3" x14ac:dyDescent="0.25">
      <c r="A407" s="3" t="s">
        <v>392</v>
      </c>
      <c r="B407" s="3">
        <v>0</v>
      </c>
      <c r="C407" s="4"/>
    </row>
    <row r="408" spans="1:3" x14ac:dyDescent="0.25">
      <c r="A408" s="3" t="s">
        <v>393</v>
      </c>
      <c r="B408" s="3">
        <v>0</v>
      </c>
      <c r="C408" s="4"/>
    </row>
    <row r="409" spans="1:3" x14ac:dyDescent="0.25">
      <c r="A409" s="3" t="s">
        <v>394</v>
      </c>
      <c r="B409" s="3">
        <v>0</v>
      </c>
      <c r="C409" s="4"/>
    </row>
    <row r="410" spans="1:3" x14ac:dyDescent="0.25">
      <c r="A410" s="3" t="s">
        <v>395</v>
      </c>
      <c r="B410" s="3">
        <v>0</v>
      </c>
      <c r="C410" s="4"/>
    </row>
    <row r="411" spans="1:3" x14ac:dyDescent="0.25">
      <c r="A411" s="3" t="s">
        <v>396</v>
      </c>
      <c r="B411" s="3">
        <v>0</v>
      </c>
      <c r="C411" s="4"/>
    </row>
    <row r="412" spans="1:3" x14ac:dyDescent="0.25">
      <c r="A412" s="3" t="s">
        <v>397</v>
      </c>
      <c r="B412" s="3">
        <v>0</v>
      </c>
      <c r="C412" s="4"/>
    </row>
    <row r="413" spans="1:3" x14ac:dyDescent="0.25">
      <c r="A413" s="3" t="s">
        <v>398</v>
      </c>
      <c r="B413" s="3">
        <v>0</v>
      </c>
      <c r="C413" s="4"/>
    </row>
    <row r="414" spans="1:3" x14ac:dyDescent="0.25">
      <c r="A414" s="3" t="s">
        <v>399</v>
      </c>
      <c r="B414" s="3">
        <v>0</v>
      </c>
      <c r="C414" s="4"/>
    </row>
    <row r="415" spans="1:3" x14ac:dyDescent="0.25">
      <c r="A415" s="3" t="s">
        <v>400</v>
      </c>
      <c r="B415" s="3">
        <v>0</v>
      </c>
      <c r="C415" s="4"/>
    </row>
    <row r="416" spans="1:3" x14ac:dyDescent="0.25">
      <c r="A416" s="3" t="s">
        <v>401</v>
      </c>
      <c r="B416" s="3">
        <v>0</v>
      </c>
      <c r="C416" s="4"/>
    </row>
    <row r="417" spans="1:3" x14ac:dyDescent="0.25">
      <c r="A417" s="3" t="s">
        <v>402</v>
      </c>
      <c r="B417" s="3">
        <v>0</v>
      </c>
      <c r="C417" s="4"/>
    </row>
    <row r="418" spans="1:3" x14ac:dyDescent="0.25">
      <c r="A418" s="3" t="s">
        <v>403</v>
      </c>
      <c r="B418" s="3">
        <v>0</v>
      </c>
      <c r="C418" s="4"/>
    </row>
    <row r="419" spans="1:3" x14ac:dyDescent="0.25">
      <c r="A419" s="3" t="s">
        <v>404</v>
      </c>
      <c r="B419" s="3">
        <v>0</v>
      </c>
      <c r="C419" s="4"/>
    </row>
    <row r="420" spans="1:3" x14ac:dyDescent="0.25">
      <c r="A420" s="3" t="s">
        <v>405</v>
      </c>
      <c r="B420" s="3">
        <v>0</v>
      </c>
      <c r="C420" s="4"/>
    </row>
    <row r="421" spans="1:3" x14ac:dyDescent="0.25">
      <c r="A421" s="3" t="s">
        <v>201</v>
      </c>
      <c r="B421" s="3">
        <v>0</v>
      </c>
      <c r="C421" s="4"/>
    </row>
    <row r="422" spans="1:3" x14ac:dyDescent="0.25">
      <c r="A422" s="3" t="s">
        <v>406</v>
      </c>
      <c r="B422" s="3">
        <v>0</v>
      </c>
      <c r="C422" s="4"/>
    </row>
    <row r="423" spans="1:3" x14ac:dyDescent="0.25">
      <c r="A423" s="3" t="s">
        <v>407</v>
      </c>
      <c r="B423" s="3">
        <v>0</v>
      </c>
      <c r="C423" s="4"/>
    </row>
    <row r="424" spans="1:3" x14ac:dyDescent="0.25">
      <c r="A424" s="3" t="s">
        <v>408</v>
      </c>
      <c r="B424" s="3">
        <v>0</v>
      </c>
      <c r="C424" s="4"/>
    </row>
    <row r="425" spans="1:3" x14ac:dyDescent="0.25">
      <c r="A425" s="3" t="s">
        <v>409</v>
      </c>
      <c r="B425" s="3">
        <v>0</v>
      </c>
      <c r="C425" s="4"/>
    </row>
    <row r="426" spans="1:3" x14ac:dyDescent="0.25">
      <c r="A426" s="3" t="s">
        <v>410</v>
      </c>
      <c r="B426" s="3">
        <v>0</v>
      </c>
      <c r="C426" s="4"/>
    </row>
    <row r="427" spans="1:3" x14ac:dyDescent="0.25">
      <c r="A427" s="3" t="s">
        <v>411</v>
      </c>
      <c r="B427" s="3">
        <v>0</v>
      </c>
      <c r="C427" s="4"/>
    </row>
    <row r="428" spans="1:3" x14ac:dyDescent="0.25">
      <c r="B428" s="3">
        <v>0</v>
      </c>
      <c r="C428" s="2"/>
    </row>
    <row r="429" spans="1:3" x14ac:dyDescent="0.25">
      <c r="A429" s="3" t="s">
        <v>412</v>
      </c>
      <c r="B429" s="3">
        <v>0</v>
      </c>
      <c r="C429" s="4"/>
    </row>
    <row r="430" spans="1:3" x14ac:dyDescent="0.25">
      <c r="A430" s="3" t="s">
        <v>413</v>
      </c>
      <c r="B430" s="3">
        <v>0</v>
      </c>
      <c r="C430" s="4"/>
    </row>
    <row r="431" spans="1:3" x14ac:dyDescent="0.25">
      <c r="A431" s="3" t="s">
        <v>414</v>
      </c>
      <c r="B431" s="3">
        <v>0</v>
      </c>
      <c r="C431" s="4"/>
    </row>
    <row r="432" spans="1:3" x14ac:dyDescent="0.25">
      <c r="A432" s="3" t="s">
        <v>415</v>
      </c>
      <c r="B432" s="3">
        <v>0</v>
      </c>
      <c r="C432" s="4"/>
    </row>
    <row r="433" spans="1:3" x14ac:dyDescent="0.25">
      <c r="A433" s="3" t="s">
        <v>416</v>
      </c>
      <c r="B433" s="3">
        <v>0</v>
      </c>
      <c r="C433" s="4"/>
    </row>
    <row r="434" spans="1:3" x14ac:dyDescent="0.25">
      <c r="A434" s="3" t="s">
        <v>417</v>
      </c>
      <c r="B434" s="3">
        <v>0</v>
      </c>
      <c r="C434" s="4"/>
    </row>
    <row r="435" spans="1:3" x14ac:dyDescent="0.25">
      <c r="A435" s="3" t="s">
        <v>418</v>
      </c>
      <c r="B435" s="3">
        <v>0</v>
      </c>
      <c r="C435" s="4"/>
    </row>
    <row r="436" spans="1:3" x14ac:dyDescent="0.25">
      <c r="A436" s="3" t="s">
        <v>419</v>
      </c>
      <c r="B436" s="3">
        <v>0</v>
      </c>
      <c r="C436" s="4"/>
    </row>
    <row r="437" spans="1:3" x14ac:dyDescent="0.25">
      <c r="A437" s="3" t="s">
        <v>420</v>
      </c>
      <c r="B437" s="3">
        <v>0</v>
      </c>
      <c r="C437" s="4"/>
    </row>
    <row r="438" spans="1:3" x14ac:dyDescent="0.25">
      <c r="A438" s="3" t="s">
        <v>421</v>
      </c>
      <c r="B438" s="3">
        <v>0</v>
      </c>
      <c r="C438" s="4"/>
    </row>
    <row r="439" spans="1:3" x14ac:dyDescent="0.25">
      <c r="A439" s="3" t="s">
        <v>422</v>
      </c>
      <c r="B439" s="3">
        <v>0</v>
      </c>
      <c r="C439" s="4"/>
    </row>
    <row r="440" spans="1:3" x14ac:dyDescent="0.25">
      <c r="A440" s="3" t="s">
        <v>423</v>
      </c>
      <c r="B440" s="3">
        <v>0</v>
      </c>
      <c r="C440" s="4"/>
    </row>
    <row r="441" spans="1:3" x14ac:dyDescent="0.25">
      <c r="A441" s="3" t="s">
        <v>424</v>
      </c>
      <c r="B441" s="3">
        <v>0</v>
      </c>
      <c r="C441" s="4"/>
    </row>
    <row r="442" spans="1:3" x14ac:dyDescent="0.25">
      <c r="A442" s="3" t="s">
        <v>425</v>
      </c>
      <c r="B442" s="3">
        <v>0</v>
      </c>
      <c r="C442" s="4"/>
    </row>
    <row r="443" spans="1:3" x14ac:dyDescent="0.25">
      <c r="A443" s="3" t="s">
        <v>426</v>
      </c>
      <c r="B443" s="3">
        <v>0</v>
      </c>
      <c r="C443" s="4"/>
    </row>
    <row r="444" spans="1:3" x14ac:dyDescent="0.25">
      <c r="A444" s="3" t="s">
        <v>427</v>
      </c>
      <c r="B444" s="3">
        <v>0</v>
      </c>
      <c r="C444" s="4"/>
    </row>
    <row r="445" spans="1:3" x14ac:dyDescent="0.25">
      <c r="B445" s="3">
        <v>0</v>
      </c>
      <c r="C445" s="2"/>
    </row>
    <row r="446" spans="1:3" x14ac:dyDescent="0.25">
      <c r="A446" s="3" t="s">
        <v>428</v>
      </c>
      <c r="B446" s="3">
        <v>0</v>
      </c>
      <c r="C446" s="4"/>
    </row>
    <row r="447" spans="1:3" x14ac:dyDescent="0.25">
      <c r="A447" s="3" t="s">
        <v>429</v>
      </c>
      <c r="B447" s="3">
        <v>0</v>
      </c>
      <c r="C447" s="4"/>
    </row>
    <row r="448" spans="1:3" x14ac:dyDescent="0.25">
      <c r="A448" s="3" t="s">
        <v>430</v>
      </c>
      <c r="B448" s="3">
        <v>0</v>
      </c>
      <c r="C448" s="4"/>
    </row>
    <row r="449" spans="1:3" x14ac:dyDescent="0.25">
      <c r="A449" s="3" t="s">
        <v>431</v>
      </c>
      <c r="B449" s="3">
        <v>0</v>
      </c>
      <c r="C449" s="4"/>
    </row>
    <row r="450" spans="1:3" x14ac:dyDescent="0.25">
      <c r="A450" s="3" t="s">
        <v>432</v>
      </c>
      <c r="B450" s="3">
        <v>0</v>
      </c>
      <c r="C450" s="4"/>
    </row>
    <row r="451" spans="1:3" x14ac:dyDescent="0.25">
      <c r="A451" s="3" t="s">
        <v>433</v>
      </c>
      <c r="B451" s="3">
        <v>0</v>
      </c>
      <c r="C451" s="4"/>
    </row>
    <row r="452" spans="1:3" x14ac:dyDescent="0.25">
      <c r="A452" s="3" t="s">
        <v>434</v>
      </c>
      <c r="B452" s="3">
        <v>0</v>
      </c>
      <c r="C452" s="4"/>
    </row>
    <row r="453" spans="1:3" x14ac:dyDescent="0.25">
      <c r="A453" s="3" t="s">
        <v>435</v>
      </c>
      <c r="B453" s="3">
        <v>0</v>
      </c>
      <c r="C453" s="4"/>
    </row>
    <row r="454" spans="1:3" x14ac:dyDescent="0.25">
      <c r="A454" s="3" t="s">
        <v>436</v>
      </c>
      <c r="B454" s="3">
        <v>0</v>
      </c>
      <c r="C454" s="4" t="s">
        <v>166</v>
      </c>
    </row>
    <row r="455" spans="1:3" x14ac:dyDescent="0.25">
      <c r="A455" s="3" t="s">
        <v>436</v>
      </c>
      <c r="B455" s="3">
        <v>0</v>
      </c>
      <c r="C455" s="4" t="s">
        <v>124</v>
      </c>
    </row>
    <row r="456" spans="1:3" x14ac:dyDescent="0.25">
      <c r="A456" s="3" t="s">
        <v>436</v>
      </c>
      <c r="B456" s="3">
        <v>0</v>
      </c>
      <c r="C456" s="4" t="s">
        <v>168</v>
      </c>
    </row>
    <row r="457" spans="1:3" x14ac:dyDescent="0.25">
      <c r="A457" s="3" t="s">
        <v>436</v>
      </c>
      <c r="B457" s="3">
        <v>0</v>
      </c>
      <c r="C457" s="4" t="s">
        <v>126</v>
      </c>
    </row>
    <row r="458" spans="1:3" x14ac:dyDescent="0.25">
      <c r="A458" s="3" t="s">
        <v>437</v>
      </c>
      <c r="B458" s="3">
        <v>0</v>
      </c>
      <c r="C458" s="4"/>
    </row>
    <row r="459" spans="1:3" x14ac:dyDescent="0.25">
      <c r="A459" s="3" t="s">
        <v>438</v>
      </c>
      <c r="B459" s="3">
        <v>0</v>
      </c>
      <c r="C459" s="4"/>
    </row>
    <row r="460" spans="1:3" x14ac:dyDescent="0.25">
      <c r="A460" s="3" t="s">
        <v>439</v>
      </c>
      <c r="B460" s="3">
        <v>0</v>
      </c>
      <c r="C460" s="4"/>
    </row>
    <row r="461" spans="1:3" x14ac:dyDescent="0.25">
      <c r="A461" s="3" t="s">
        <v>440</v>
      </c>
      <c r="B461" s="3">
        <v>0</v>
      </c>
      <c r="C461" s="4"/>
    </row>
    <row r="462" spans="1:3" x14ac:dyDescent="0.25">
      <c r="A462" s="3" t="s">
        <v>441</v>
      </c>
      <c r="B462" s="3">
        <v>0</v>
      </c>
      <c r="C462" s="4"/>
    </row>
    <row r="463" spans="1:3" x14ac:dyDescent="0.25">
      <c r="A463" s="3" t="s">
        <v>442</v>
      </c>
      <c r="B463" s="3">
        <v>0</v>
      </c>
      <c r="C463" s="4"/>
    </row>
    <row r="464" spans="1:3" x14ac:dyDescent="0.25">
      <c r="A464" s="3" t="s">
        <v>443</v>
      </c>
      <c r="B464" s="3">
        <v>0</v>
      </c>
      <c r="C464" s="4"/>
    </row>
    <row r="465" spans="1:3" x14ac:dyDescent="0.25">
      <c r="A465" s="3" t="s">
        <v>444</v>
      </c>
      <c r="B465" s="3">
        <v>0</v>
      </c>
      <c r="C465" s="4"/>
    </row>
    <row r="466" spans="1:3" x14ac:dyDescent="0.25">
      <c r="A466" s="3" t="s">
        <v>445</v>
      </c>
      <c r="B466" s="3">
        <v>0</v>
      </c>
      <c r="C466" s="4"/>
    </row>
    <row r="467" spans="1:3" x14ac:dyDescent="0.25">
      <c r="A467" s="3" t="s">
        <v>446</v>
      </c>
      <c r="B467" s="3">
        <v>0</v>
      </c>
      <c r="C467" s="4"/>
    </row>
    <row r="468" spans="1:3" x14ac:dyDescent="0.25">
      <c r="A468" s="3" t="s">
        <v>447</v>
      </c>
      <c r="B468" s="3">
        <v>0</v>
      </c>
      <c r="C468" s="4"/>
    </row>
    <row r="469" spans="1:3" x14ac:dyDescent="0.25">
      <c r="A469" s="3" t="s">
        <v>448</v>
      </c>
      <c r="B469" s="3">
        <v>0</v>
      </c>
      <c r="C469" s="4" t="s">
        <v>71</v>
      </c>
    </row>
    <row r="470" spans="1:3" x14ac:dyDescent="0.25">
      <c r="A470" s="3" t="s">
        <v>448</v>
      </c>
      <c r="B470" s="3">
        <v>0</v>
      </c>
      <c r="C470" s="4" t="s">
        <v>27</v>
      </c>
    </row>
    <row r="471" spans="1:3" x14ac:dyDescent="0.25">
      <c r="A471" s="3" t="s">
        <v>448</v>
      </c>
      <c r="B471" s="3">
        <v>0</v>
      </c>
      <c r="C471" s="4" t="s">
        <v>28</v>
      </c>
    </row>
    <row r="472" spans="1:3" x14ac:dyDescent="0.25">
      <c r="A472" s="3" t="s">
        <v>448</v>
      </c>
      <c r="B472" s="3">
        <v>0</v>
      </c>
      <c r="C472" s="4" t="s">
        <v>26</v>
      </c>
    </row>
    <row r="473" spans="1:3" x14ac:dyDescent="0.25">
      <c r="A473" s="3" t="s">
        <v>448</v>
      </c>
      <c r="B473" s="3">
        <v>0</v>
      </c>
      <c r="C473" s="4" t="s">
        <v>25</v>
      </c>
    </row>
    <row r="474" spans="1:3" x14ac:dyDescent="0.25">
      <c r="A474" s="3" t="s">
        <v>436</v>
      </c>
      <c r="B474" s="3">
        <v>0</v>
      </c>
      <c r="C474" s="4" t="s">
        <v>164</v>
      </c>
    </row>
    <row r="475" spans="1:3" x14ac:dyDescent="0.25">
      <c r="A475" s="3" t="s">
        <v>449</v>
      </c>
      <c r="B475" s="3">
        <v>0</v>
      </c>
      <c r="C475" s="4"/>
    </row>
    <row r="476" spans="1:3" x14ac:dyDescent="0.25">
      <c r="A476" s="3" t="s">
        <v>450</v>
      </c>
      <c r="B476" s="3">
        <v>0</v>
      </c>
      <c r="C476" s="4"/>
    </row>
    <row r="477" spans="1:3" x14ac:dyDescent="0.25">
      <c r="A477" s="3" t="s">
        <v>451</v>
      </c>
      <c r="B477" s="3">
        <v>0</v>
      </c>
      <c r="C477" s="4"/>
    </row>
    <row r="478" spans="1:3" x14ac:dyDescent="0.25">
      <c r="A478" s="3" t="s">
        <v>436</v>
      </c>
      <c r="B478" s="3">
        <v>0</v>
      </c>
      <c r="C478" s="4" t="s">
        <v>125</v>
      </c>
    </row>
    <row r="479" spans="1:3" x14ac:dyDescent="0.25">
      <c r="A479" s="3" t="s">
        <v>436</v>
      </c>
      <c r="B479" s="3">
        <v>0</v>
      </c>
      <c r="C479" s="4" t="s">
        <v>165</v>
      </c>
    </row>
    <row r="480" spans="1:3" x14ac:dyDescent="0.25">
      <c r="A480" s="3" t="s">
        <v>436</v>
      </c>
      <c r="B480" s="3">
        <v>0</v>
      </c>
      <c r="C480" s="4" t="s">
        <v>163</v>
      </c>
    </row>
    <row r="481" spans="1:3" x14ac:dyDescent="0.25">
      <c r="A481" s="3" t="s">
        <v>452</v>
      </c>
      <c r="B481" s="3">
        <v>0</v>
      </c>
      <c r="C481" s="4"/>
    </row>
    <row r="482" spans="1:3" x14ac:dyDescent="0.25">
      <c r="A482" s="3" t="s">
        <v>453</v>
      </c>
      <c r="B482" s="3">
        <v>0</v>
      </c>
      <c r="C482" s="4"/>
    </row>
    <row r="483" spans="1:3" x14ac:dyDescent="0.25">
      <c r="A483" s="3" t="s">
        <v>454</v>
      </c>
      <c r="B483" s="3">
        <v>0</v>
      </c>
      <c r="C483" s="4"/>
    </row>
    <row r="484" spans="1:3" x14ac:dyDescent="0.25">
      <c r="A484" s="3" t="s">
        <v>455</v>
      </c>
      <c r="B484" s="3">
        <v>0</v>
      </c>
      <c r="C484" s="4"/>
    </row>
    <row r="485" spans="1:3" x14ac:dyDescent="0.25">
      <c r="A485" s="3" t="s">
        <v>456</v>
      </c>
      <c r="B485" s="3">
        <v>0</v>
      </c>
      <c r="C485" s="4"/>
    </row>
    <row r="486" spans="1:3" x14ac:dyDescent="0.25">
      <c r="A486" s="3" t="s">
        <v>457</v>
      </c>
      <c r="B486" s="3">
        <v>0</v>
      </c>
      <c r="C486" s="4"/>
    </row>
    <row r="487" spans="1:3" x14ac:dyDescent="0.25">
      <c r="A487" s="3" t="s">
        <v>458</v>
      </c>
      <c r="B487" s="3">
        <v>0</v>
      </c>
      <c r="C487" s="4"/>
    </row>
    <row r="488" spans="1:3" x14ac:dyDescent="0.25">
      <c r="A488" s="3" t="s">
        <v>427</v>
      </c>
      <c r="B488" s="3">
        <v>0</v>
      </c>
      <c r="C488" s="4"/>
    </row>
    <row r="489" spans="1:3" x14ac:dyDescent="0.25">
      <c r="A489" s="3" t="s">
        <v>459</v>
      </c>
      <c r="B489" s="3">
        <v>0</v>
      </c>
      <c r="C489" s="4"/>
    </row>
    <row r="490" spans="1:3" x14ac:dyDescent="0.25">
      <c r="A490" s="3" t="s">
        <v>459</v>
      </c>
      <c r="B490" s="3">
        <v>0</v>
      </c>
      <c r="C490" s="4"/>
    </row>
    <row r="491" spans="1:3" x14ac:dyDescent="0.25">
      <c r="A491" s="3" t="s">
        <v>460</v>
      </c>
      <c r="B491" s="3">
        <v>0</v>
      </c>
      <c r="C491" s="4"/>
    </row>
    <row r="492" spans="1:3" x14ac:dyDescent="0.25">
      <c r="A492" s="3" t="s">
        <v>461</v>
      </c>
      <c r="B492" s="3">
        <v>0</v>
      </c>
      <c r="C492" s="4"/>
    </row>
    <row r="493" spans="1:3" x14ac:dyDescent="0.25">
      <c r="A493" s="3" t="s">
        <v>462</v>
      </c>
      <c r="B493" s="3">
        <v>0</v>
      </c>
      <c r="C493" s="4"/>
    </row>
    <row r="494" spans="1:3" x14ac:dyDescent="0.25">
      <c r="A494" s="3" t="s">
        <v>463</v>
      </c>
      <c r="B494" s="3">
        <v>0</v>
      </c>
      <c r="C494" s="4"/>
    </row>
    <row r="495" spans="1:3" x14ac:dyDescent="0.25">
      <c r="A495" s="3" t="s">
        <v>464</v>
      </c>
      <c r="B495" s="3">
        <v>0</v>
      </c>
      <c r="C495" s="4"/>
    </row>
    <row r="496" spans="1:3" x14ac:dyDescent="0.25">
      <c r="A496" s="3" t="s">
        <v>465</v>
      </c>
      <c r="B496" s="3">
        <v>0</v>
      </c>
      <c r="C496" s="4"/>
    </row>
    <row r="497" spans="1:3" x14ac:dyDescent="0.25">
      <c r="A497" s="3" t="s">
        <v>329</v>
      </c>
      <c r="B497" s="3">
        <v>0</v>
      </c>
      <c r="C497" s="4"/>
    </row>
    <row r="498" spans="1:3" x14ac:dyDescent="0.25">
      <c r="A498" s="3" t="s">
        <v>466</v>
      </c>
      <c r="B498" s="3">
        <v>0</v>
      </c>
      <c r="C498" s="4"/>
    </row>
    <row r="499" spans="1:3" x14ac:dyDescent="0.25">
      <c r="A499" s="3" t="s">
        <v>467</v>
      </c>
      <c r="B499" s="3">
        <v>0</v>
      </c>
      <c r="C499" s="4"/>
    </row>
    <row r="500" spans="1:3" x14ac:dyDescent="0.25">
      <c r="A500" s="3" t="s">
        <v>468</v>
      </c>
      <c r="B500" s="3">
        <v>0</v>
      </c>
      <c r="C500" s="4"/>
    </row>
    <row r="501" spans="1:3" x14ac:dyDescent="0.25">
      <c r="A501" s="3" t="s">
        <v>469</v>
      </c>
      <c r="B501" s="3">
        <v>0</v>
      </c>
      <c r="C501" s="4"/>
    </row>
    <row r="502" spans="1:3" x14ac:dyDescent="0.25">
      <c r="A502" s="3" t="s">
        <v>470</v>
      </c>
      <c r="B502" s="3">
        <v>0</v>
      </c>
      <c r="C502" s="4"/>
    </row>
    <row r="503" spans="1:3" x14ac:dyDescent="0.25">
      <c r="A503" s="3" t="s">
        <v>471</v>
      </c>
      <c r="B503" s="3">
        <v>0</v>
      </c>
      <c r="C503" s="4"/>
    </row>
    <row r="504" spans="1:3" x14ac:dyDescent="0.25">
      <c r="A504" s="3" t="s">
        <v>472</v>
      </c>
      <c r="B504" s="3">
        <v>0</v>
      </c>
      <c r="C504" s="4"/>
    </row>
    <row r="505" spans="1:3" x14ac:dyDescent="0.25">
      <c r="A505" s="3" t="s">
        <v>473</v>
      </c>
      <c r="B505" s="3">
        <v>0</v>
      </c>
      <c r="C505" s="4"/>
    </row>
    <row r="506" spans="1:3" x14ac:dyDescent="0.25">
      <c r="A506" s="3" t="s">
        <v>474</v>
      </c>
      <c r="B506" s="3">
        <v>0</v>
      </c>
      <c r="C506" s="4"/>
    </row>
    <row r="507" spans="1:3" x14ac:dyDescent="0.25">
      <c r="A507" s="3" t="s">
        <v>475</v>
      </c>
      <c r="B507" s="3">
        <v>0</v>
      </c>
      <c r="C507" s="4"/>
    </row>
    <row r="508" spans="1:3" x14ac:dyDescent="0.25">
      <c r="A508" s="3" t="s">
        <v>476</v>
      </c>
      <c r="B508" s="3">
        <v>0</v>
      </c>
      <c r="C508" s="4"/>
    </row>
    <row r="509" spans="1:3" x14ac:dyDescent="0.25">
      <c r="A509" s="3" t="s">
        <v>477</v>
      </c>
      <c r="B509" s="3">
        <v>0</v>
      </c>
      <c r="C509" s="4"/>
    </row>
    <row r="510" spans="1:3" x14ac:dyDescent="0.25">
      <c r="A510" s="3" t="s">
        <v>478</v>
      </c>
      <c r="B510" s="3">
        <v>0</v>
      </c>
      <c r="C510" s="4"/>
    </row>
    <row r="511" spans="1:3" x14ac:dyDescent="0.25">
      <c r="A511" s="3" t="s">
        <v>479</v>
      </c>
      <c r="B511" s="3">
        <v>0</v>
      </c>
      <c r="C511" s="4"/>
    </row>
    <row r="512" spans="1:3" x14ac:dyDescent="0.25">
      <c r="A512" s="3" t="s">
        <v>480</v>
      </c>
      <c r="B512" s="3">
        <v>0</v>
      </c>
      <c r="C512" s="4"/>
    </row>
    <row r="513" spans="1:3" x14ac:dyDescent="0.25">
      <c r="A513" s="3" t="s">
        <v>481</v>
      </c>
      <c r="B513" s="3">
        <v>0</v>
      </c>
      <c r="C513" s="4"/>
    </row>
    <row r="514" spans="1:3" x14ac:dyDescent="0.25">
      <c r="A514" s="3" t="s">
        <v>482</v>
      </c>
      <c r="B514" s="3">
        <v>0</v>
      </c>
      <c r="C514" s="4"/>
    </row>
    <row r="515" spans="1:3" x14ac:dyDescent="0.25">
      <c r="A515" s="3" t="s">
        <v>483</v>
      </c>
      <c r="B515" s="3">
        <v>0</v>
      </c>
      <c r="C515" s="4"/>
    </row>
    <row r="516" spans="1:3" x14ac:dyDescent="0.25">
      <c r="A516" s="3" t="s">
        <v>484</v>
      </c>
      <c r="B516" s="3">
        <v>0</v>
      </c>
      <c r="C516" s="4"/>
    </row>
    <row r="517" spans="1:3" x14ac:dyDescent="0.25">
      <c r="A517" s="3" t="s">
        <v>485</v>
      </c>
      <c r="B517" s="3">
        <v>0</v>
      </c>
      <c r="C517" s="4"/>
    </row>
    <row r="518" spans="1:3" x14ac:dyDescent="0.25">
      <c r="A518" s="3" t="s">
        <v>486</v>
      </c>
      <c r="B518" s="3">
        <v>0</v>
      </c>
      <c r="C518" s="4"/>
    </row>
    <row r="519" spans="1:3" x14ac:dyDescent="0.25">
      <c r="A519" s="3" t="s">
        <v>487</v>
      </c>
      <c r="B519" s="3">
        <v>0</v>
      </c>
      <c r="C519" s="4"/>
    </row>
    <row r="520" spans="1:3" x14ac:dyDescent="0.25">
      <c r="A520" s="3" t="s">
        <v>488</v>
      </c>
      <c r="B520" s="3">
        <v>0</v>
      </c>
      <c r="C520" s="4"/>
    </row>
    <row r="521" spans="1:3" x14ac:dyDescent="0.25">
      <c r="A521" s="3" t="s">
        <v>489</v>
      </c>
      <c r="B521" s="3">
        <v>0</v>
      </c>
      <c r="C521" s="4"/>
    </row>
    <row r="522" spans="1:3" x14ac:dyDescent="0.25">
      <c r="A522" s="3" t="s">
        <v>490</v>
      </c>
      <c r="B522" s="3">
        <v>0</v>
      </c>
      <c r="C522" s="4"/>
    </row>
    <row r="523" spans="1:3" x14ac:dyDescent="0.25">
      <c r="A523" s="3" t="s">
        <v>491</v>
      </c>
      <c r="B523" s="3">
        <v>0</v>
      </c>
      <c r="C523" s="4"/>
    </row>
    <row r="524" spans="1:3" x14ac:dyDescent="0.25">
      <c r="A524" s="3" t="s">
        <v>492</v>
      </c>
      <c r="B524" s="3">
        <v>0</v>
      </c>
      <c r="C524" s="4"/>
    </row>
    <row r="525" spans="1:3" x14ac:dyDescent="0.25">
      <c r="A525" s="3" t="s">
        <v>493</v>
      </c>
      <c r="B525" s="3">
        <v>0</v>
      </c>
      <c r="C525" s="4"/>
    </row>
    <row r="526" spans="1:3" x14ac:dyDescent="0.25">
      <c r="A526" s="3" t="s">
        <v>494</v>
      </c>
      <c r="B526" s="3">
        <v>0</v>
      </c>
      <c r="C526" s="4"/>
    </row>
    <row r="527" spans="1:3" x14ac:dyDescent="0.25">
      <c r="A527" s="3" t="s">
        <v>495</v>
      </c>
      <c r="B527" s="3">
        <v>0</v>
      </c>
      <c r="C527" s="4"/>
    </row>
    <row r="528" spans="1:3" x14ac:dyDescent="0.25">
      <c r="A528" s="3" t="s">
        <v>496</v>
      </c>
      <c r="B528" s="3">
        <v>0</v>
      </c>
      <c r="C528" s="4"/>
    </row>
    <row r="529" spans="1:3" x14ac:dyDescent="0.25">
      <c r="A529" s="3" t="s">
        <v>497</v>
      </c>
      <c r="B529" s="3">
        <v>0</v>
      </c>
      <c r="C529" s="4"/>
    </row>
    <row r="530" spans="1:3" x14ac:dyDescent="0.25">
      <c r="A530" s="3" t="s">
        <v>498</v>
      </c>
      <c r="B530" s="3">
        <v>0</v>
      </c>
      <c r="C530" s="4"/>
    </row>
    <row r="531" spans="1:3" x14ac:dyDescent="0.25">
      <c r="A531" s="3" t="s">
        <v>499</v>
      </c>
      <c r="B531" s="3">
        <v>0</v>
      </c>
      <c r="C531" s="4"/>
    </row>
    <row r="532" spans="1:3" x14ac:dyDescent="0.25">
      <c r="A532" s="3" t="s">
        <v>500</v>
      </c>
      <c r="B532" s="3">
        <v>0</v>
      </c>
      <c r="C532" s="4"/>
    </row>
    <row r="533" spans="1:3" x14ac:dyDescent="0.25">
      <c r="A533" s="3" t="s">
        <v>501</v>
      </c>
      <c r="B533" s="3">
        <v>0</v>
      </c>
      <c r="C533" s="4"/>
    </row>
    <row r="534" spans="1:3" x14ac:dyDescent="0.25">
      <c r="A534" s="3" t="s">
        <v>502</v>
      </c>
      <c r="B534" s="3">
        <v>0</v>
      </c>
      <c r="C534" s="4"/>
    </row>
    <row r="535" spans="1:3" x14ac:dyDescent="0.25">
      <c r="A535" s="3" t="s">
        <v>234</v>
      </c>
      <c r="B535" s="3">
        <v>0</v>
      </c>
      <c r="C535" s="4"/>
    </row>
    <row r="536" spans="1:3" x14ac:dyDescent="0.25">
      <c r="A536" s="3" t="s">
        <v>503</v>
      </c>
      <c r="B536" s="3">
        <v>0</v>
      </c>
      <c r="C536" s="4"/>
    </row>
    <row r="537" spans="1:3" x14ac:dyDescent="0.25">
      <c r="A537" s="3" t="s">
        <v>266</v>
      </c>
      <c r="B537" s="3">
        <v>0</v>
      </c>
      <c r="C537" s="4" t="s">
        <v>28</v>
      </c>
    </row>
    <row r="538" spans="1:3" x14ac:dyDescent="0.25">
      <c r="A538" s="3" t="s">
        <v>266</v>
      </c>
      <c r="B538" s="3">
        <v>0</v>
      </c>
      <c r="C538" s="4" t="s">
        <v>26</v>
      </c>
    </row>
    <row r="539" spans="1:3" x14ac:dyDescent="0.25">
      <c r="A539" s="3" t="s">
        <v>266</v>
      </c>
      <c r="B539" s="3">
        <v>0</v>
      </c>
      <c r="C539" s="4" t="s">
        <v>25</v>
      </c>
    </row>
    <row r="540" spans="1:3" x14ac:dyDescent="0.25">
      <c r="A540" s="3" t="s">
        <v>266</v>
      </c>
      <c r="B540" s="3">
        <v>0</v>
      </c>
      <c r="C540" s="4" t="s">
        <v>27</v>
      </c>
    </row>
    <row r="541" spans="1:3" x14ac:dyDescent="0.25">
      <c r="A541" s="3" t="s">
        <v>266</v>
      </c>
      <c r="B541" s="3">
        <v>0</v>
      </c>
      <c r="C541" s="4" t="s">
        <v>71</v>
      </c>
    </row>
    <row r="542" spans="1:3" x14ac:dyDescent="0.25">
      <c r="A542" s="3" t="s">
        <v>504</v>
      </c>
      <c r="B542" s="3">
        <v>0</v>
      </c>
      <c r="C542" s="4"/>
    </row>
    <row r="543" spans="1:3" x14ac:dyDescent="0.25">
      <c r="A543" s="3" t="s">
        <v>505</v>
      </c>
      <c r="B543" s="3">
        <v>0</v>
      </c>
      <c r="C543" s="4"/>
    </row>
    <row r="544" spans="1:3" x14ac:dyDescent="0.25">
      <c r="A544" s="3" t="s">
        <v>506</v>
      </c>
      <c r="B544" s="3">
        <v>0</v>
      </c>
      <c r="C544" s="4"/>
    </row>
    <row r="545" spans="1:3" x14ac:dyDescent="0.25">
      <c r="A545" s="3" t="s">
        <v>35</v>
      </c>
      <c r="B545" s="3">
        <v>0</v>
      </c>
      <c r="C545" s="4"/>
    </row>
    <row r="546" spans="1:3" x14ac:dyDescent="0.25">
      <c r="A546" s="3" t="s">
        <v>507</v>
      </c>
      <c r="B546" s="3">
        <v>0</v>
      </c>
      <c r="C546" s="4"/>
    </row>
    <row r="547" spans="1:3" x14ac:dyDescent="0.25">
      <c r="A547" s="3" t="s">
        <v>508</v>
      </c>
      <c r="B547" s="3">
        <v>0</v>
      </c>
      <c r="C547" s="4"/>
    </row>
    <row r="548" spans="1:3" x14ac:dyDescent="0.25">
      <c r="A548" s="3" t="s">
        <v>509</v>
      </c>
      <c r="B548" s="3">
        <v>0</v>
      </c>
      <c r="C548" s="4"/>
    </row>
    <row r="549" spans="1:3" x14ac:dyDescent="0.25">
      <c r="A549" s="3" t="s">
        <v>510</v>
      </c>
      <c r="B549" s="3">
        <v>0</v>
      </c>
      <c r="C549" s="4"/>
    </row>
    <row r="550" spans="1:3" x14ac:dyDescent="0.25">
      <c r="A550" s="3" t="s">
        <v>511</v>
      </c>
      <c r="B550" s="3">
        <v>0</v>
      </c>
      <c r="C550" s="4"/>
    </row>
    <row r="551" spans="1:3" x14ac:dyDescent="0.25">
      <c r="A551" s="3" t="s">
        <v>512</v>
      </c>
      <c r="B551" s="3">
        <v>0</v>
      </c>
      <c r="C551" s="4"/>
    </row>
    <row r="552" spans="1:3" x14ac:dyDescent="0.25">
      <c r="A552" s="3" t="s">
        <v>513</v>
      </c>
      <c r="B552" s="3">
        <v>0</v>
      </c>
      <c r="C552" s="4"/>
    </row>
    <row r="553" spans="1:3" x14ac:dyDescent="0.25">
      <c r="A553" s="3" t="s">
        <v>514</v>
      </c>
      <c r="B553" s="3">
        <v>0</v>
      </c>
      <c r="C553" s="4"/>
    </row>
    <row r="554" spans="1:3" x14ac:dyDescent="0.25">
      <c r="A554" s="3" t="s">
        <v>515</v>
      </c>
      <c r="B554" s="3">
        <v>0</v>
      </c>
      <c r="C554" s="4"/>
    </row>
    <row r="555" spans="1:3" x14ac:dyDescent="0.25">
      <c r="A555" s="3" t="s">
        <v>516</v>
      </c>
      <c r="B555" s="3">
        <v>0</v>
      </c>
      <c r="C555" s="4"/>
    </row>
    <row r="556" spans="1:3" x14ac:dyDescent="0.25">
      <c r="A556" s="3" t="s">
        <v>517</v>
      </c>
      <c r="B556" s="3">
        <v>0</v>
      </c>
      <c r="C556" s="4"/>
    </row>
    <row r="557" spans="1:3" x14ac:dyDescent="0.25">
      <c r="A557" s="3" t="s">
        <v>518</v>
      </c>
      <c r="B557" s="3">
        <v>0</v>
      </c>
      <c r="C557" s="4"/>
    </row>
    <row r="558" spans="1:3" x14ac:dyDescent="0.25">
      <c r="A558" s="3" t="s">
        <v>519</v>
      </c>
      <c r="B558" s="3">
        <v>0</v>
      </c>
      <c r="C558" s="4"/>
    </row>
    <row r="559" spans="1:3" x14ac:dyDescent="0.25">
      <c r="A559" s="3" t="s">
        <v>520</v>
      </c>
      <c r="B559" s="3">
        <v>0</v>
      </c>
      <c r="C559" s="4"/>
    </row>
    <row r="560" spans="1:3" x14ac:dyDescent="0.25">
      <c r="A560" s="3" t="s">
        <v>521</v>
      </c>
      <c r="B560" s="3">
        <v>0</v>
      </c>
      <c r="C560" s="4"/>
    </row>
    <row r="561" spans="1:3" x14ac:dyDescent="0.25">
      <c r="A561" s="3" t="s">
        <v>522</v>
      </c>
      <c r="B561" s="3">
        <v>0</v>
      </c>
      <c r="C561" s="4"/>
    </row>
    <row r="562" spans="1:3" x14ac:dyDescent="0.25">
      <c r="A562" s="3" t="s">
        <v>523</v>
      </c>
      <c r="B562" s="3">
        <v>0</v>
      </c>
      <c r="C562" s="4"/>
    </row>
    <row r="563" spans="1:3" x14ac:dyDescent="0.25">
      <c r="A563" s="3" t="s">
        <v>524</v>
      </c>
      <c r="B563" s="3">
        <v>0</v>
      </c>
      <c r="C563" s="4"/>
    </row>
    <row r="564" spans="1:3" x14ac:dyDescent="0.25">
      <c r="A564" s="3" t="s">
        <v>525</v>
      </c>
      <c r="B564" s="3">
        <v>0</v>
      </c>
      <c r="C564" s="4"/>
    </row>
    <row r="565" spans="1:3" x14ac:dyDescent="0.25">
      <c r="A565" s="3" t="s">
        <v>526</v>
      </c>
      <c r="B565" s="3">
        <v>0</v>
      </c>
      <c r="C565" s="4"/>
    </row>
    <row r="566" spans="1:3" x14ac:dyDescent="0.25">
      <c r="A566" s="3" t="s">
        <v>527</v>
      </c>
      <c r="B566" s="3">
        <v>0</v>
      </c>
      <c r="C566" s="4"/>
    </row>
    <row r="567" spans="1:3" x14ac:dyDescent="0.25">
      <c r="A567" s="3" t="s">
        <v>528</v>
      </c>
      <c r="B567" s="3">
        <v>0</v>
      </c>
      <c r="C567" s="4"/>
    </row>
    <row r="568" spans="1:3" x14ac:dyDescent="0.25">
      <c r="A568" s="3" t="s">
        <v>529</v>
      </c>
      <c r="B568" s="3">
        <v>0</v>
      </c>
      <c r="C568" s="4"/>
    </row>
    <row r="569" spans="1:3" x14ac:dyDescent="0.25">
      <c r="A569" s="3" t="s">
        <v>530</v>
      </c>
      <c r="B569" s="3">
        <v>0</v>
      </c>
      <c r="C569" s="4"/>
    </row>
    <row r="570" spans="1:3" x14ac:dyDescent="0.25">
      <c r="A570" s="3" t="s">
        <v>531</v>
      </c>
      <c r="B570" s="3">
        <v>0</v>
      </c>
      <c r="C570" s="4"/>
    </row>
    <row r="571" spans="1:3" x14ac:dyDescent="0.25">
      <c r="A571" s="3" t="s">
        <v>532</v>
      </c>
      <c r="B571" s="3">
        <v>0</v>
      </c>
      <c r="C571" s="4"/>
    </row>
    <row r="572" spans="1:3" x14ac:dyDescent="0.25">
      <c r="A572" s="3" t="s">
        <v>533</v>
      </c>
      <c r="B572" s="3">
        <v>0</v>
      </c>
      <c r="C572" s="4"/>
    </row>
    <row r="573" spans="1:3" x14ac:dyDescent="0.25">
      <c r="A573" s="3" t="s">
        <v>534</v>
      </c>
      <c r="B573" s="3">
        <v>0</v>
      </c>
      <c r="C573" s="4"/>
    </row>
    <row r="574" spans="1:3" x14ac:dyDescent="0.25">
      <c r="A574" s="3" t="s">
        <v>535</v>
      </c>
      <c r="B574" s="3">
        <v>0</v>
      </c>
      <c r="C574" s="4"/>
    </row>
    <row r="575" spans="1:3" x14ac:dyDescent="0.25">
      <c r="B575" s="3">
        <v>0</v>
      </c>
      <c r="C575" s="2"/>
    </row>
    <row r="576" spans="1:3" x14ac:dyDescent="0.25">
      <c r="A576" s="3" t="s">
        <v>536</v>
      </c>
      <c r="B576" s="3">
        <v>0</v>
      </c>
      <c r="C576" s="4"/>
    </row>
    <row r="577" spans="1:3" x14ac:dyDescent="0.25">
      <c r="A577" s="3" t="s">
        <v>537</v>
      </c>
      <c r="B577" s="3">
        <v>0</v>
      </c>
      <c r="C577" s="4"/>
    </row>
    <row r="578" spans="1:3" x14ac:dyDescent="0.25">
      <c r="B578" s="3">
        <v>0</v>
      </c>
      <c r="C578" s="2"/>
    </row>
    <row r="579" spans="1:3" x14ac:dyDescent="0.25">
      <c r="A579" s="3" t="s">
        <v>538</v>
      </c>
      <c r="B579" s="3">
        <v>0</v>
      </c>
      <c r="C579" s="4"/>
    </row>
    <row r="580" spans="1:3" x14ac:dyDescent="0.25">
      <c r="A580" s="3" t="s">
        <v>539</v>
      </c>
      <c r="B580" s="3">
        <v>0</v>
      </c>
      <c r="C580" s="4"/>
    </row>
    <row r="581" spans="1:3" x14ac:dyDescent="0.25">
      <c r="A581" s="3" t="s">
        <v>540</v>
      </c>
      <c r="B581" s="3">
        <v>0</v>
      </c>
      <c r="C581" s="4"/>
    </row>
    <row r="582" spans="1:3" x14ac:dyDescent="0.25">
      <c r="A582" s="3" t="s">
        <v>541</v>
      </c>
      <c r="B582" s="3">
        <v>0</v>
      </c>
      <c r="C582" s="4"/>
    </row>
    <row r="583" spans="1:3" x14ac:dyDescent="0.25">
      <c r="A583" s="3" t="s">
        <v>542</v>
      </c>
      <c r="B583" s="3">
        <v>0</v>
      </c>
      <c r="C583" s="4"/>
    </row>
    <row r="584" spans="1:3" x14ac:dyDescent="0.25">
      <c r="A584" s="3" t="s">
        <v>543</v>
      </c>
      <c r="B584" s="3">
        <v>0</v>
      </c>
      <c r="C584" s="4"/>
    </row>
    <row r="585" spans="1:3" x14ac:dyDescent="0.25">
      <c r="A585" s="3" t="s">
        <v>544</v>
      </c>
      <c r="B585" s="3">
        <v>0</v>
      </c>
      <c r="C585" s="4"/>
    </row>
    <row r="586" spans="1:3" x14ac:dyDescent="0.25">
      <c r="A586" s="3" t="s">
        <v>545</v>
      </c>
      <c r="B586" s="3">
        <v>0</v>
      </c>
      <c r="C586" s="4"/>
    </row>
    <row r="587" spans="1:3" x14ac:dyDescent="0.25">
      <c r="A587" s="3" t="s">
        <v>546</v>
      </c>
      <c r="B587" s="3">
        <v>0</v>
      </c>
      <c r="C587" s="4"/>
    </row>
    <row r="588" spans="1:3" x14ac:dyDescent="0.25">
      <c r="A588" s="3" t="s">
        <v>547</v>
      </c>
      <c r="B588" s="3">
        <v>0</v>
      </c>
      <c r="C588" s="4"/>
    </row>
    <row r="589" spans="1:3" x14ac:dyDescent="0.25">
      <c r="A589" s="3" t="s">
        <v>548</v>
      </c>
      <c r="B589" s="3">
        <v>0</v>
      </c>
      <c r="C589" s="4"/>
    </row>
    <row r="590" spans="1:3" x14ac:dyDescent="0.25">
      <c r="A590" s="3" t="s">
        <v>549</v>
      </c>
      <c r="B590" s="3">
        <v>0</v>
      </c>
      <c r="C590" s="4"/>
    </row>
    <row r="591" spans="1:3" x14ac:dyDescent="0.25">
      <c r="A591" s="3" t="s">
        <v>550</v>
      </c>
      <c r="B591" s="3">
        <v>0</v>
      </c>
      <c r="C591" s="4"/>
    </row>
    <row r="592" spans="1:3" x14ac:dyDescent="0.25">
      <c r="A592" s="3" t="s">
        <v>551</v>
      </c>
      <c r="B592" s="3">
        <v>0</v>
      </c>
      <c r="C592" s="4"/>
    </row>
    <row r="593" spans="1:3" x14ac:dyDescent="0.25">
      <c r="A593" s="3" t="s">
        <v>552</v>
      </c>
      <c r="B593" s="3">
        <v>0</v>
      </c>
      <c r="C593" s="4"/>
    </row>
    <row r="594" spans="1:3" x14ac:dyDescent="0.25">
      <c r="A594" s="3" t="s">
        <v>553</v>
      </c>
      <c r="B594" s="3">
        <v>0</v>
      </c>
      <c r="C594" s="4"/>
    </row>
    <row r="595" spans="1:3" x14ac:dyDescent="0.25">
      <c r="A595" s="3" t="s">
        <v>554</v>
      </c>
      <c r="B595" s="3">
        <v>0</v>
      </c>
      <c r="C595" s="4"/>
    </row>
    <row r="596" spans="1:3" x14ac:dyDescent="0.25">
      <c r="A596" s="3" t="s">
        <v>555</v>
      </c>
      <c r="B596" s="3">
        <v>0</v>
      </c>
      <c r="C596" s="4"/>
    </row>
    <row r="597" spans="1:3" x14ac:dyDescent="0.25">
      <c r="A597" s="3" t="s">
        <v>556</v>
      </c>
      <c r="B597" s="3">
        <v>0</v>
      </c>
      <c r="C597" s="4"/>
    </row>
    <row r="598" spans="1:3" x14ac:dyDescent="0.25">
      <c r="A598" s="3" t="s">
        <v>557</v>
      </c>
      <c r="B598" s="3">
        <v>0</v>
      </c>
      <c r="C598" s="4"/>
    </row>
    <row r="599" spans="1:3" x14ac:dyDescent="0.25">
      <c r="A599" s="3" t="s">
        <v>558</v>
      </c>
      <c r="B599" s="3">
        <v>0</v>
      </c>
      <c r="C599" s="4"/>
    </row>
    <row r="600" spans="1:3" x14ac:dyDescent="0.25">
      <c r="A600" s="3" t="s">
        <v>559</v>
      </c>
      <c r="B600" s="3">
        <v>0</v>
      </c>
      <c r="C600" s="4"/>
    </row>
    <row r="601" spans="1:3" x14ac:dyDescent="0.25">
      <c r="A601" s="3" t="s">
        <v>560</v>
      </c>
      <c r="B601" s="3">
        <v>0</v>
      </c>
      <c r="C601" s="4"/>
    </row>
    <row r="602" spans="1:3" x14ac:dyDescent="0.25">
      <c r="A602" s="3" t="s">
        <v>561</v>
      </c>
      <c r="B602" s="3">
        <v>0</v>
      </c>
      <c r="C602" s="4"/>
    </row>
    <row r="603" spans="1:3" x14ac:dyDescent="0.25">
      <c r="A603" s="3" t="s">
        <v>562</v>
      </c>
      <c r="B603" s="3">
        <v>0</v>
      </c>
      <c r="C603" s="4"/>
    </row>
    <row r="604" spans="1:3" x14ac:dyDescent="0.25">
      <c r="A604" s="3" t="s">
        <v>563</v>
      </c>
      <c r="B604" s="3">
        <v>0</v>
      </c>
      <c r="C604" s="4"/>
    </row>
    <row r="605" spans="1:3" x14ac:dyDescent="0.25">
      <c r="A605" s="3" t="s">
        <v>564</v>
      </c>
      <c r="B605" s="3">
        <v>0</v>
      </c>
      <c r="C605" s="4"/>
    </row>
    <row r="606" spans="1:3" x14ac:dyDescent="0.25">
      <c r="A606" s="3" t="s">
        <v>565</v>
      </c>
      <c r="B606" s="3">
        <v>0</v>
      </c>
      <c r="C606" s="4"/>
    </row>
    <row r="607" spans="1:3" x14ac:dyDescent="0.25">
      <c r="A607" s="3" t="s">
        <v>566</v>
      </c>
      <c r="B607" s="3">
        <v>0</v>
      </c>
      <c r="C607" s="4"/>
    </row>
    <row r="608" spans="1:3" x14ac:dyDescent="0.25">
      <c r="A608" s="3" t="s">
        <v>567</v>
      </c>
      <c r="B608" s="3">
        <v>0</v>
      </c>
      <c r="C608" s="4"/>
    </row>
    <row r="609" spans="1:3" x14ac:dyDescent="0.25">
      <c r="A609" s="3" t="s">
        <v>568</v>
      </c>
      <c r="B609" s="3">
        <v>0</v>
      </c>
      <c r="C609" s="4"/>
    </row>
    <row r="610" spans="1:3" x14ac:dyDescent="0.25">
      <c r="A610" s="3" t="s">
        <v>569</v>
      </c>
      <c r="B610" s="3">
        <v>0</v>
      </c>
      <c r="C610" s="4"/>
    </row>
    <row r="611" spans="1:3" x14ac:dyDescent="0.25">
      <c r="A611" s="3" t="s">
        <v>570</v>
      </c>
      <c r="B611" s="3">
        <v>0</v>
      </c>
      <c r="C611" s="4"/>
    </row>
    <row r="612" spans="1:3" x14ac:dyDescent="0.25">
      <c r="A612" s="3" t="s">
        <v>571</v>
      </c>
      <c r="B612" s="3">
        <v>0</v>
      </c>
      <c r="C612" s="4"/>
    </row>
    <row r="613" spans="1:3" x14ac:dyDescent="0.25">
      <c r="A613" s="3" t="s">
        <v>572</v>
      </c>
      <c r="B613" s="3">
        <v>0</v>
      </c>
      <c r="C613" s="4"/>
    </row>
    <row r="614" spans="1:3" x14ac:dyDescent="0.25">
      <c r="A614" s="3" t="s">
        <v>573</v>
      </c>
      <c r="B614" s="3">
        <v>0</v>
      </c>
      <c r="C614" s="4"/>
    </row>
    <row r="615" spans="1:3" x14ac:dyDescent="0.25">
      <c r="A615" s="3" t="s">
        <v>574</v>
      </c>
      <c r="B615" s="3">
        <v>0</v>
      </c>
      <c r="C615" s="4"/>
    </row>
    <row r="616" spans="1:3" x14ac:dyDescent="0.25">
      <c r="A616" s="3" t="s">
        <v>575</v>
      </c>
      <c r="B616" s="3">
        <v>0</v>
      </c>
      <c r="C616" s="4"/>
    </row>
    <row r="617" spans="1:3" x14ac:dyDescent="0.25">
      <c r="A617" s="3" t="s">
        <v>576</v>
      </c>
      <c r="B617" s="3">
        <v>0</v>
      </c>
      <c r="C617" s="4"/>
    </row>
    <row r="618" spans="1:3" x14ac:dyDescent="0.25">
      <c r="A618" s="3" t="s">
        <v>577</v>
      </c>
      <c r="B618" s="3">
        <v>0</v>
      </c>
      <c r="C618" s="4"/>
    </row>
    <row r="619" spans="1:3" x14ac:dyDescent="0.25">
      <c r="A619" s="3" t="s">
        <v>578</v>
      </c>
      <c r="B619" s="3">
        <v>0</v>
      </c>
      <c r="C619" s="4"/>
    </row>
    <row r="620" spans="1:3" x14ac:dyDescent="0.25">
      <c r="A620" s="3" t="s">
        <v>579</v>
      </c>
      <c r="B620" s="3">
        <v>0</v>
      </c>
      <c r="C620" s="4"/>
    </row>
    <row r="621" spans="1:3" x14ac:dyDescent="0.25">
      <c r="A621" s="3" t="s">
        <v>580</v>
      </c>
      <c r="B621" s="3">
        <v>0</v>
      </c>
      <c r="C621" s="4"/>
    </row>
    <row r="622" spans="1:3" x14ac:dyDescent="0.25">
      <c r="A622" s="3" t="s">
        <v>581</v>
      </c>
      <c r="B622" s="3">
        <v>0</v>
      </c>
      <c r="C622" s="4"/>
    </row>
    <row r="623" spans="1:3" x14ac:dyDescent="0.25">
      <c r="A623" s="3" t="s">
        <v>582</v>
      </c>
      <c r="B623" s="3">
        <v>0</v>
      </c>
      <c r="C623" s="4"/>
    </row>
    <row r="624" spans="1:3" x14ac:dyDescent="0.25">
      <c r="A624" s="3" t="s">
        <v>583</v>
      </c>
      <c r="B624" s="3">
        <v>0</v>
      </c>
      <c r="C624" s="4"/>
    </row>
    <row r="625" spans="1:3" x14ac:dyDescent="0.25">
      <c r="A625" s="3" t="s">
        <v>584</v>
      </c>
      <c r="B625" s="3">
        <v>0</v>
      </c>
      <c r="C625" s="4"/>
    </row>
    <row r="626" spans="1:3" x14ac:dyDescent="0.25">
      <c r="A626" s="3" t="s">
        <v>585</v>
      </c>
      <c r="B626" s="3">
        <v>0</v>
      </c>
      <c r="C626" s="4"/>
    </row>
    <row r="627" spans="1:3" x14ac:dyDescent="0.25">
      <c r="A627" s="3" t="s">
        <v>586</v>
      </c>
      <c r="B627" s="3">
        <v>0</v>
      </c>
      <c r="C627" s="4"/>
    </row>
    <row r="628" spans="1:3" x14ac:dyDescent="0.25">
      <c r="A628" s="3" t="s">
        <v>587</v>
      </c>
      <c r="B628" s="3">
        <v>0</v>
      </c>
      <c r="C628" s="4"/>
    </row>
    <row r="629" spans="1:3" x14ac:dyDescent="0.25">
      <c r="A629" s="3" t="s">
        <v>588</v>
      </c>
      <c r="B629" s="3">
        <v>0</v>
      </c>
      <c r="C629" s="4"/>
    </row>
    <row r="630" spans="1:3" x14ac:dyDescent="0.25">
      <c r="A630" s="3" t="s">
        <v>589</v>
      </c>
      <c r="B630" s="3">
        <v>0</v>
      </c>
      <c r="C630" s="4"/>
    </row>
    <row r="631" spans="1:3" x14ac:dyDescent="0.25">
      <c r="A631" s="3" t="s">
        <v>590</v>
      </c>
      <c r="B631" s="3">
        <v>0</v>
      </c>
      <c r="C631" s="4"/>
    </row>
    <row r="632" spans="1:3" x14ac:dyDescent="0.25">
      <c r="A632" s="3" t="s">
        <v>591</v>
      </c>
      <c r="B632" s="3">
        <v>0</v>
      </c>
      <c r="C632" s="4"/>
    </row>
    <row r="633" spans="1:3" x14ac:dyDescent="0.25">
      <c r="A633" s="3" t="s">
        <v>592</v>
      </c>
      <c r="B633" s="3">
        <v>0</v>
      </c>
      <c r="C633" s="4"/>
    </row>
    <row r="634" spans="1:3" x14ac:dyDescent="0.25">
      <c r="A634" s="3" t="s">
        <v>593</v>
      </c>
      <c r="B634" s="3">
        <v>0</v>
      </c>
      <c r="C634" s="4"/>
    </row>
    <row r="635" spans="1:3" x14ac:dyDescent="0.25">
      <c r="A635" s="3" t="s">
        <v>594</v>
      </c>
      <c r="B635" s="3">
        <v>0</v>
      </c>
      <c r="C635" s="4"/>
    </row>
    <row r="636" spans="1:3" x14ac:dyDescent="0.25">
      <c r="A636" s="3" t="s">
        <v>595</v>
      </c>
      <c r="B636" s="3">
        <v>0</v>
      </c>
      <c r="C636" s="4"/>
    </row>
    <row r="637" spans="1:3" x14ac:dyDescent="0.25">
      <c r="A637" s="3" t="s">
        <v>596</v>
      </c>
      <c r="B637" s="3">
        <v>0</v>
      </c>
      <c r="C637" s="4"/>
    </row>
    <row r="638" spans="1:3" x14ac:dyDescent="0.25">
      <c r="A638" s="3" t="s">
        <v>597</v>
      </c>
      <c r="B638" s="3">
        <v>0</v>
      </c>
      <c r="C638" s="4"/>
    </row>
    <row r="639" spans="1:3" x14ac:dyDescent="0.25">
      <c r="A639" s="3" t="s">
        <v>598</v>
      </c>
      <c r="B639" s="3">
        <v>0</v>
      </c>
      <c r="C639" s="4"/>
    </row>
    <row r="640" spans="1:3" x14ac:dyDescent="0.25">
      <c r="A640" s="3" t="s">
        <v>599</v>
      </c>
      <c r="B640" s="3">
        <v>0</v>
      </c>
      <c r="C640" s="4"/>
    </row>
    <row r="641" spans="1:3" x14ac:dyDescent="0.25">
      <c r="A641" s="3" t="s">
        <v>600</v>
      </c>
      <c r="B641" s="3">
        <v>0</v>
      </c>
      <c r="C641" s="4"/>
    </row>
    <row r="642" spans="1:3" x14ac:dyDescent="0.25">
      <c r="A642" s="3" t="s">
        <v>601</v>
      </c>
      <c r="B642" s="3">
        <v>0</v>
      </c>
      <c r="C642" s="4"/>
    </row>
    <row r="643" spans="1:3" x14ac:dyDescent="0.25">
      <c r="A643" s="3" t="s">
        <v>602</v>
      </c>
      <c r="B643" s="3">
        <v>0</v>
      </c>
      <c r="C643" s="4"/>
    </row>
    <row r="644" spans="1:3" x14ac:dyDescent="0.25">
      <c r="A644" s="3" t="s">
        <v>603</v>
      </c>
      <c r="B644" s="3">
        <v>0</v>
      </c>
      <c r="C644" s="4"/>
    </row>
    <row r="645" spans="1:3" x14ac:dyDescent="0.25">
      <c r="A645" s="3" t="s">
        <v>604</v>
      </c>
      <c r="B645" s="3">
        <v>0</v>
      </c>
      <c r="C645" s="4"/>
    </row>
    <row r="646" spans="1:3" x14ac:dyDescent="0.25">
      <c r="A646" s="3" t="s">
        <v>605</v>
      </c>
      <c r="B646" s="3">
        <v>0</v>
      </c>
      <c r="C646" s="4"/>
    </row>
    <row r="647" spans="1:3" x14ac:dyDescent="0.25">
      <c r="A647" s="3" t="s">
        <v>549</v>
      </c>
      <c r="B647" s="3">
        <v>0</v>
      </c>
      <c r="C647" s="4"/>
    </row>
    <row r="648" spans="1:3" x14ac:dyDescent="0.25">
      <c r="A648" s="3" t="s">
        <v>606</v>
      </c>
      <c r="B648" s="3">
        <v>0</v>
      </c>
      <c r="C648" s="4"/>
    </row>
    <row r="649" spans="1:3" x14ac:dyDescent="0.25">
      <c r="A649" s="3" t="s">
        <v>607</v>
      </c>
      <c r="B649" s="3">
        <v>0</v>
      </c>
      <c r="C649" s="4"/>
    </row>
    <row r="650" spans="1:3" x14ac:dyDescent="0.25">
      <c r="A650" s="3" t="s">
        <v>608</v>
      </c>
      <c r="B650" s="3">
        <v>0</v>
      </c>
      <c r="C650" s="4"/>
    </row>
    <row r="651" spans="1:3" x14ac:dyDescent="0.25">
      <c r="A651" s="3" t="s">
        <v>609</v>
      </c>
      <c r="B651" s="3">
        <v>0</v>
      </c>
      <c r="C651" s="4"/>
    </row>
    <row r="652" spans="1:3" x14ac:dyDescent="0.25">
      <c r="A652" s="3" t="s">
        <v>610</v>
      </c>
      <c r="B652" s="3">
        <v>0</v>
      </c>
      <c r="C652" s="4"/>
    </row>
    <row r="653" spans="1:3" x14ac:dyDescent="0.25">
      <c r="A653" s="3" t="s">
        <v>611</v>
      </c>
      <c r="B653" s="3">
        <v>0</v>
      </c>
      <c r="C653" s="4"/>
    </row>
    <row r="654" spans="1:3" x14ac:dyDescent="0.25">
      <c r="A654" s="3" t="s">
        <v>612</v>
      </c>
      <c r="B654" s="3">
        <v>0</v>
      </c>
      <c r="C654" s="4"/>
    </row>
    <row r="655" spans="1:3" x14ac:dyDescent="0.25">
      <c r="A655" s="3" t="s">
        <v>613</v>
      </c>
      <c r="B655" s="3">
        <v>0</v>
      </c>
      <c r="C655" s="4"/>
    </row>
    <row r="656" spans="1:3" x14ac:dyDescent="0.25">
      <c r="A656" s="3" t="s">
        <v>614</v>
      </c>
      <c r="B656" s="3">
        <v>0</v>
      </c>
      <c r="C656" s="4"/>
    </row>
    <row r="657" spans="1:3" x14ac:dyDescent="0.25">
      <c r="A657" s="3" t="s">
        <v>615</v>
      </c>
      <c r="B657" s="3">
        <v>0</v>
      </c>
      <c r="C657" s="4"/>
    </row>
    <row r="658" spans="1:3" x14ac:dyDescent="0.25">
      <c r="A658" s="3" t="s">
        <v>616</v>
      </c>
      <c r="B658" s="3">
        <v>0</v>
      </c>
      <c r="C658" s="4"/>
    </row>
    <row r="659" spans="1:3" x14ac:dyDescent="0.25">
      <c r="A659" s="3" t="s">
        <v>617</v>
      </c>
      <c r="B659" s="3">
        <v>0</v>
      </c>
      <c r="C659" s="4"/>
    </row>
    <row r="660" spans="1:3" x14ac:dyDescent="0.25">
      <c r="A660" s="3" t="s">
        <v>618</v>
      </c>
      <c r="B660" s="3">
        <v>0</v>
      </c>
      <c r="C660" s="4"/>
    </row>
    <row r="661" spans="1:3" x14ac:dyDescent="0.25">
      <c r="A661" s="3" t="s">
        <v>619</v>
      </c>
      <c r="B661" s="3">
        <v>0</v>
      </c>
      <c r="C661" s="4"/>
    </row>
    <row r="662" spans="1:3" x14ac:dyDescent="0.25">
      <c r="A662" s="3" t="s">
        <v>620</v>
      </c>
      <c r="B662" s="3">
        <v>0</v>
      </c>
      <c r="C662" s="4"/>
    </row>
    <row r="663" spans="1:3" x14ac:dyDescent="0.25">
      <c r="A663" s="3" t="s">
        <v>621</v>
      </c>
      <c r="B663" s="3">
        <v>0</v>
      </c>
      <c r="C663" s="4"/>
    </row>
    <row r="664" spans="1:3" x14ac:dyDescent="0.25">
      <c r="A664" s="3" t="s">
        <v>622</v>
      </c>
      <c r="B664" s="3">
        <v>0</v>
      </c>
      <c r="C664" s="4"/>
    </row>
    <row r="665" spans="1:3" x14ac:dyDescent="0.25">
      <c r="A665" s="3" t="s">
        <v>623</v>
      </c>
      <c r="B665" s="3">
        <v>0</v>
      </c>
      <c r="C665" s="4"/>
    </row>
    <row r="666" spans="1:3" x14ac:dyDescent="0.25">
      <c r="A666" s="3" t="s">
        <v>624</v>
      </c>
      <c r="B666" s="3">
        <v>0</v>
      </c>
      <c r="C666" s="4"/>
    </row>
    <row r="667" spans="1:3" x14ac:dyDescent="0.25">
      <c r="A667" s="3" t="s">
        <v>625</v>
      </c>
      <c r="B667" s="3">
        <v>0</v>
      </c>
      <c r="C667" s="4"/>
    </row>
    <row r="668" spans="1:3" x14ac:dyDescent="0.25">
      <c r="A668" s="3" t="s">
        <v>626</v>
      </c>
      <c r="B668" s="3">
        <v>0</v>
      </c>
      <c r="C668" s="4"/>
    </row>
    <row r="669" spans="1:3" x14ac:dyDescent="0.25">
      <c r="A669" s="3" t="s">
        <v>627</v>
      </c>
      <c r="B669" s="3">
        <v>0</v>
      </c>
      <c r="C669" s="4"/>
    </row>
    <row r="670" spans="1:3" x14ac:dyDescent="0.25">
      <c r="A670" s="3" t="s">
        <v>628</v>
      </c>
      <c r="B670" s="3">
        <v>0</v>
      </c>
      <c r="C670" s="4"/>
    </row>
    <row r="671" spans="1:3" x14ac:dyDescent="0.25">
      <c r="A671" s="3" t="s">
        <v>629</v>
      </c>
      <c r="B671" s="3">
        <v>0</v>
      </c>
      <c r="C671" s="4"/>
    </row>
    <row r="672" spans="1:3" x14ac:dyDescent="0.25">
      <c r="A672" s="3" t="s">
        <v>630</v>
      </c>
      <c r="B672" s="3">
        <v>0</v>
      </c>
      <c r="C672" s="4"/>
    </row>
    <row r="673" spans="1:3" x14ac:dyDescent="0.25">
      <c r="A673" s="3" t="s">
        <v>631</v>
      </c>
      <c r="B673" s="3">
        <v>0</v>
      </c>
      <c r="C673" s="4"/>
    </row>
    <row r="674" spans="1:3" x14ac:dyDescent="0.25">
      <c r="A674" s="3" t="s">
        <v>632</v>
      </c>
      <c r="B674" s="3">
        <v>0</v>
      </c>
      <c r="C674" s="4"/>
    </row>
    <row r="675" spans="1:3" x14ac:dyDescent="0.25">
      <c r="A675" s="3" t="s">
        <v>633</v>
      </c>
      <c r="B675" s="3">
        <v>0</v>
      </c>
      <c r="C675" s="4"/>
    </row>
    <row r="676" spans="1:3" x14ac:dyDescent="0.25">
      <c r="A676" s="3" t="s">
        <v>634</v>
      </c>
      <c r="B676" s="3">
        <v>0</v>
      </c>
      <c r="C676" s="4"/>
    </row>
    <row r="677" spans="1:3" x14ac:dyDescent="0.25">
      <c r="A677" s="3" t="s">
        <v>635</v>
      </c>
      <c r="B677" s="3">
        <v>0</v>
      </c>
      <c r="C677" s="4"/>
    </row>
    <row r="678" spans="1:3" x14ac:dyDescent="0.25">
      <c r="A678" s="3" t="s">
        <v>636</v>
      </c>
      <c r="B678" s="3">
        <v>0</v>
      </c>
      <c r="C678" s="4"/>
    </row>
    <row r="679" spans="1:3" x14ac:dyDescent="0.25">
      <c r="A679" s="3" t="s">
        <v>637</v>
      </c>
      <c r="B679" s="3">
        <v>0</v>
      </c>
      <c r="C679" s="4"/>
    </row>
    <row r="680" spans="1:3" x14ac:dyDescent="0.25">
      <c r="A680" s="3" t="s">
        <v>638</v>
      </c>
      <c r="B680" s="3">
        <v>0</v>
      </c>
      <c r="C680" s="4"/>
    </row>
    <row r="681" spans="1:3" x14ac:dyDescent="0.25">
      <c r="A681" s="3" t="s">
        <v>639</v>
      </c>
      <c r="B681" s="3">
        <v>0</v>
      </c>
      <c r="C681" s="4"/>
    </row>
    <row r="682" spans="1:3" x14ac:dyDescent="0.25">
      <c r="A682" s="3" t="s">
        <v>640</v>
      </c>
      <c r="B682" s="3">
        <v>0</v>
      </c>
      <c r="C682" s="4"/>
    </row>
    <row r="683" spans="1:3" x14ac:dyDescent="0.25">
      <c r="A683" s="3" t="s">
        <v>641</v>
      </c>
      <c r="B683" s="3">
        <v>0</v>
      </c>
      <c r="C683" s="4"/>
    </row>
    <row r="684" spans="1:3" x14ac:dyDescent="0.25">
      <c r="A684" s="3" t="s">
        <v>642</v>
      </c>
      <c r="B684" s="3">
        <v>0</v>
      </c>
      <c r="C684" s="4"/>
    </row>
    <row r="685" spans="1:3" x14ac:dyDescent="0.25">
      <c r="A685" s="3" t="s">
        <v>643</v>
      </c>
      <c r="B685" s="3">
        <v>0</v>
      </c>
      <c r="C685" s="4"/>
    </row>
    <row r="686" spans="1:3" x14ac:dyDescent="0.25">
      <c r="A686" s="3" t="s">
        <v>644</v>
      </c>
      <c r="B686" s="3">
        <v>0</v>
      </c>
      <c r="C686" s="4"/>
    </row>
    <row r="687" spans="1:3" x14ac:dyDescent="0.25">
      <c r="A687" s="3" t="s">
        <v>645</v>
      </c>
      <c r="B687" s="3">
        <v>0</v>
      </c>
      <c r="C687" s="4"/>
    </row>
    <row r="688" spans="1:3" x14ac:dyDescent="0.25">
      <c r="A688" s="3" t="s">
        <v>646</v>
      </c>
      <c r="B688" s="3">
        <v>0</v>
      </c>
      <c r="C688" s="4"/>
    </row>
    <row r="689" spans="1:3" x14ac:dyDescent="0.25">
      <c r="A689" s="3" t="s">
        <v>647</v>
      </c>
      <c r="B689" s="3">
        <v>0</v>
      </c>
      <c r="C689" s="4"/>
    </row>
    <row r="690" spans="1:3" x14ac:dyDescent="0.25">
      <c r="A690" s="3" t="s">
        <v>648</v>
      </c>
      <c r="B690" s="3">
        <v>0</v>
      </c>
      <c r="C690" s="4"/>
    </row>
    <row r="691" spans="1:3" x14ac:dyDescent="0.25">
      <c r="A691" s="3" t="s">
        <v>649</v>
      </c>
      <c r="B691" s="3">
        <v>0</v>
      </c>
      <c r="C691" s="4"/>
    </row>
    <row r="692" spans="1:3" x14ac:dyDescent="0.25">
      <c r="A692" s="3" t="s">
        <v>650</v>
      </c>
      <c r="B692" s="3">
        <v>0</v>
      </c>
      <c r="C692" s="4"/>
    </row>
    <row r="693" spans="1:3" x14ac:dyDescent="0.25">
      <c r="A693" s="3" t="s">
        <v>651</v>
      </c>
      <c r="B693" s="3">
        <v>0</v>
      </c>
      <c r="C693" s="4"/>
    </row>
    <row r="694" spans="1:3" x14ac:dyDescent="0.25">
      <c r="A694" s="3" t="s">
        <v>652</v>
      </c>
      <c r="B694" s="3">
        <v>0</v>
      </c>
      <c r="C694" s="4"/>
    </row>
    <row r="695" spans="1:3" x14ac:dyDescent="0.25">
      <c r="A695" s="3" t="s">
        <v>653</v>
      </c>
      <c r="B695" s="3">
        <v>0</v>
      </c>
      <c r="C695" s="4"/>
    </row>
    <row r="696" spans="1:3" x14ac:dyDescent="0.25">
      <c r="A696" s="3" t="s">
        <v>654</v>
      </c>
      <c r="B696" s="3">
        <v>0</v>
      </c>
      <c r="C696" s="4"/>
    </row>
    <row r="697" spans="1:3" x14ac:dyDescent="0.25">
      <c r="A697" s="3" t="s">
        <v>655</v>
      </c>
      <c r="B697" s="3">
        <v>0</v>
      </c>
      <c r="C697" s="4"/>
    </row>
    <row r="698" spans="1:3" x14ac:dyDescent="0.25">
      <c r="A698" s="3" t="s">
        <v>656</v>
      </c>
      <c r="B698" s="3">
        <v>0</v>
      </c>
      <c r="C698" s="4"/>
    </row>
    <row r="699" spans="1:3" x14ac:dyDescent="0.25">
      <c r="A699" s="3" t="s">
        <v>657</v>
      </c>
      <c r="B699" s="3">
        <v>0</v>
      </c>
      <c r="C699" s="4"/>
    </row>
    <row r="700" spans="1:3" x14ac:dyDescent="0.25">
      <c r="A700" s="3" t="s">
        <v>658</v>
      </c>
      <c r="B700" s="3">
        <v>0</v>
      </c>
      <c r="C700" s="4"/>
    </row>
    <row r="701" spans="1:3" x14ac:dyDescent="0.25">
      <c r="A701" s="3" t="s">
        <v>659</v>
      </c>
      <c r="B701" s="3">
        <v>0</v>
      </c>
      <c r="C701" s="4"/>
    </row>
    <row r="702" spans="1:3" x14ac:dyDescent="0.25">
      <c r="A702" s="3" t="s">
        <v>660</v>
      </c>
      <c r="B702" s="3">
        <v>0</v>
      </c>
      <c r="C702" s="4"/>
    </row>
    <row r="703" spans="1:3" x14ac:dyDescent="0.25">
      <c r="A703" s="3" t="s">
        <v>661</v>
      </c>
      <c r="B703" s="3">
        <v>0</v>
      </c>
      <c r="C703" s="4"/>
    </row>
    <row r="704" spans="1:3" x14ac:dyDescent="0.25">
      <c r="A704" s="3" t="s">
        <v>662</v>
      </c>
      <c r="B704" s="3">
        <v>0</v>
      </c>
      <c r="C704" s="4"/>
    </row>
    <row r="705" spans="1:3" x14ac:dyDescent="0.25">
      <c r="A705" s="3" t="s">
        <v>663</v>
      </c>
      <c r="B705" s="3">
        <v>0</v>
      </c>
      <c r="C705" s="4"/>
    </row>
    <row r="706" spans="1:3" x14ac:dyDescent="0.25">
      <c r="A706" s="3" t="s">
        <v>664</v>
      </c>
      <c r="B706" s="3">
        <v>0</v>
      </c>
      <c r="C706" s="4"/>
    </row>
    <row r="707" spans="1:3" x14ac:dyDescent="0.25">
      <c r="A707" s="3" t="s">
        <v>665</v>
      </c>
      <c r="B707" s="3">
        <v>0</v>
      </c>
      <c r="C707" s="4"/>
    </row>
    <row r="708" spans="1:3" x14ac:dyDescent="0.25">
      <c r="A708" s="3" t="s">
        <v>666</v>
      </c>
      <c r="B708" s="3">
        <v>0</v>
      </c>
      <c r="C708" s="4"/>
    </row>
    <row r="709" spans="1:3" x14ac:dyDescent="0.25">
      <c r="A709" s="3" t="s">
        <v>667</v>
      </c>
      <c r="B709" s="3">
        <v>0</v>
      </c>
      <c r="C709" s="4"/>
    </row>
    <row r="710" spans="1:3" x14ac:dyDescent="0.25">
      <c r="A710" s="3" t="s">
        <v>668</v>
      </c>
      <c r="B710" s="3">
        <v>0</v>
      </c>
      <c r="C710" s="4"/>
    </row>
    <row r="711" spans="1:3" x14ac:dyDescent="0.25">
      <c r="A711" s="3" t="s">
        <v>669</v>
      </c>
      <c r="B711" s="3">
        <v>0</v>
      </c>
      <c r="C711" s="4"/>
    </row>
    <row r="712" spans="1:3" x14ac:dyDescent="0.25">
      <c r="A712" s="3" t="s">
        <v>670</v>
      </c>
      <c r="B712" s="3">
        <v>0</v>
      </c>
      <c r="C712" s="4"/>
    </row>
    <row r="713" spans="1:3" x14ac:dyDescent="0.25">
      <c r="A713" s="3" t="s">
        <v>671</v>
      </c>
      <c r="B713" s="3">
        <v>0</v>
      </c>
      <c r="C713" s="4"/>
    </row>
    <row r="714" spans="1:3" x14ac:dyDescent="0.25">
      <c r="A714" s="3" t="s">
        <v>672</v>
      </c>
      <c r="B714" s="3">
        <v>0</v>
      </c>
      <c r="C714" s="4"/>
    </row>
    <row r="715" spans="1:3" x14ac:dyDescent="0.25">
      <c r="A715" s="3" t="s">
        <v>673</v>
      </c>
      <c r="B715" s="3">
        <v>0</v>
      </c>
      <c r="C715" s="4"/>
    </row>
    <row r="716" spans="1:3" x14ac:dyDescent="0.25">
      <c r="A716" s="3" t="s">
        <v>674</v>
      </c>
      <c r="B716" s="3">
        <v>0</v>
      </c>
      <c r="C716" s="4"/>
    </row>
    <row r="717" spans="1:3" x14ac:dyDescent="0.25">
      <c r="A717" s="3" t="s">
        <v>675</v>
      </c>
      <c r="B717" s="3">
        <v>0</v>
      </c>
      <c r="C717" s="4"/>
    </row>
    <row r="718" spans="1:3" x14ac:dyDescent="0.25">
      <c r="A718" s="3" t="s">
        <v>676</v>
      </c>
      <c r="B718" s="3">
        <v>0</v>
      </c>
      <c r="C718" s="4"/>
    </row>
    <row r="719" spans="1:3" x14ac:dyDescent="0.25">
      <c r="A719" s="3" t="s">
        <v>677</v>
      </c>
      <c r="B719" s="3">
        <v>0</v>
      </c>
      <c r="C719" s="4"/>
    </row>
    <row r="720" spans="1:3" x14ac:dyDescent="0.25">
      <c r="A720" s="3" t="s">
        <v>678</v>
      </c>
      <c r="B720" s="3">
        <v>0</v>
      </c>
      <c r="C720" s="4"/>
    </row>
    <row r="721" spans="1:3" x14ac:dyDescent="0.25">
      <c r="A721" s="3" t="s">
        <v>679</v>
      </c>
      <c r="B721" s="3">
        <v>0</v>
      </c>
      <c r="C721" s="4"/>
    </row>
    <row r="722" spans="1:3" x14ac:dyDescent="0.25">
      <c r="A722" s="3" t="s">
        <v>680</v>
      </c>
      <c r="B722" s="3">
        <v>0</v>
      </c>
      <c r="C722" s="4"/>
    </row>
    <row r="723" spans="1:3" x14ac:dyDescent="0.25">
      <c r="A723" s="3" t="s">
        <v>681</v>
      </c>
      <c r="B723" s="3">
        <v>0</v>
      </c>
      <c r="C723" s="4"/>
    </row>
    <row r="724" spans="1:3" x14ac:dyDescent="0.25">
      <c r="A724" s="3" t="s">
        <v>682</v>
      </c>
      <c r="B724" s="3">
        <v>0</v>
      </c>
      <c r="C724" s="4"/>
    </row>
    <row r="725" spans="1:3" x14ac:dyDescent="0.25">
      <c r="A725" s="3" t="s">
        <v>683</v>
      </c>
      <c r="B725" s="3">
        <v>0</v>
      </c>
      <c r="C725" s="4"/>
    </row>
    <row r="726" spans="1:3" x14ac:dyDescent="0.25">
      <c r="A726" s="3" t="s">
        <v>684</v>
      </c>
      <c r="B726" s="3">
        <v>0</v>
      </c>
      <c r="C726" s="4"/>
    </row>
    <row r="727" spans="1:3" x14ac:dyDescent="0.25">
      <c r="A727" s="3" t="s">
        <v>685</v>
      </c>
      <c r="B727" s="3">
        <v>0</v>
      </c>
      <c r="C727" s="4"/>
    </row>
    <row r="728" spans="1:3" x14ac:dyDescent="0.25">
      <c r="A728" s="3" t="s">
        <v>686</v>
      </c>
      <c r="B728" s="3">
        <v>0</v>
      </c>
      <c r="C728" s="4"/>
    </row>
    <row r="729" spans="1:3" x14ac:dyDescent="0.25">
      <c r="A729" s="3" t="s">
        <v>687</v>
      </c>
      <c r="B729" s="3">
        <v>0</v>
      </c>
      <c r="C729" s="4"/>
    </row>
    <row r="730" spans="1:3" x14ac:dyDescent="0.25">
      <c r="A730" s="3" t="s">
        <v>688</v>
      </c>
      <c r="B730" s="3">
        <v>0</v>
      </c>
      <c r="C730" s="4"/>
    </row>
    <row r="731" spans="1:3" x14ac:dyDescent="0.25">
      <c r="A731" s="3" t="s">
        <v>689</v>
      </c>
      <c r="B731" s="3">
        <v>0</v>
      </c>
      <c r="C731" s="4"/>
    </row>
    <row r="732" spans="1:3" x14ac:dyDescent="0.25">
      <c r="A732" s="3" t="s">
        <v>690</v>
      </c>
      <c r="B732" s="3">
        <v>0</v>
      </c>
      <c r="C732" s="4"/>
    </row>
    <row r="733" spans="1:3" x14ac:dyDescent="0.25">
      <c r="A733" s="3" t="s">
        <v>691</v>
      </c>
      <c r="B733" s="3">
        <v>0</v>
      </c>
      <c r="C733" s="4"/>
    </row>
    <row r="734" spans="1:3" x14ac:dyDescent="0.25">
      <c r="A734" s="3" t="s">
        <v>692</v>
      </c>
      <c r="B734" s="3">
        <v>0</v>
      </c>
      <c r="C734" s="4"/>
    </row>
    <row r="735" spans="1:3" x14ac:dyDescent="0.25">
      <c r="A735" s="3" t="s">
        <v>693</v>
      </c>
      <c r="B735" s="3">
        <v>0</v>
      </c>
      <c r="C735" s="4"/>
    </row>
    <row r="736" spans="1:3" x14ac:dyDescent="0.25">
      <c r="A736" s="3" t="s">
        <v>694</v>
      </c>
      <c r="B736" s="3">
        <v>0</v>
      </c>
      <c r="C736" s="4"/>
    </row>
    <row r="737" spans="1:3" x14ac:dyDescent="0.25">
      <c r="A737" s="3" t="s">
        <v>695</v>
      </c>
      <c r="B737" s="3">
        <v>0</v>
      </c>
      <c r="C737" s="4"/>
    </row>
    <row r="738" spans="1:3" x14ac:dyDescent="0.25">
      <c r="A738" s="3" t="s">
        <v>696</v>
      </c>
      <c r="B738" s="3">
        <v>0</v>
      </c>
      <c r="C738" s="4"/>
    </row>
    <row r="739" spans="1:3" x14ac:dyDescent="0.25">
      <c r="A739" s="3" t="s">
        <v>697</v>
      </c>
      <c r="B739" s="3">
        <v>0</v>
      </c>
      <c r="C739" s="4"/>
    </row>
    <row r="740" spans="1:3" x14ac:dyDescent="0.25">
      <c r="A740" s="3" t="s">
        <v>698</v>
      </c>
      <c r="B740" s="3">
        <v>0</v>
      </c>
      <c r="C740" s="4"/>
    </row>
    <row r="741" spans="1:3" x14ac:dyDescent="0.25">
      <c r="A741" s="3" t="s">
        <v>699</v>
      </c>
      <c r="B741" s="3">
        <v>0</v>
      </c>
      <c r="C741" s="4"/>
    </row>
    <row r="742" spans="1:3" x14ac:dyDescent="0.25">
      <c r="A742" s="3" t="s">
        <v>700</v>
      </c>
      <c r="B742" s="3">
        <v>0</v>
      </c>
      <c r="C742" s="4"/>
    </row>
    <row r="743" spans="1:3" x14ac:dyDescent="0.25">
      <c r="A743" s="3" t="s">
        <v>701</v>
      </c>
      <c r="B743" s="3">
        <v>0</v>
      </c>
      <c r="C743" s="4"/>
    </row>
    <row r="744" spans="1:3" x14ac:dyDescent="0.25">
      <c r="A744" s="3" t="s">
        <v>702</v>
      </c>
      <c r="B744" s="3">
        <v>0</v>
      </c>
      <c r="C744" s="4"/>
    </row>
    <row r="745" spans="1:3" x14ac:dyDescent="0.25">
      <c r="A745" s="3" t="s">
        <v>703</v>
      </c>
      <c r="B745" s="3">
        <v>0</v>
      </c>
      <c r="C745" s="4"/>
    </row>
    <row r="746" spans="1:3" x14ac:dyDescent="0.25">
      <c r="A746" s="3" t="s">
        <v>704</v>
      </c>
      <c r="B746" s="3">
        <v>0</v>
      </c>
      <c r="C746" s="4"/>
    </row>
    <row r="747" spans="1:3" x14ac:dyDescent="0.25">
      <c r="A747" s="3" t="s">
        <v>705</v>
      </c>
      <c r="B747" s="3">
        <v>0</v>
      </c>
      <c r="C747" s="4"/>
    </row>
    <row r="748" spans="1:3" x14ac:dyDescent="0.25">
      <c r="A748" s="3" t="s">
        <v>706</v>
      </c>
      <c r="B748" s="3">
        <v>0</v>
      </c>
      <c r="C748" s="4"/>
    </row>
    <row r="749" spans="1:3" x14ac:dyDescent="0.25">
      <c r="A749" s="3" t="s">
        <v>707</v>
      </c>
      <c r="B749" s="3">
        <v>0</v>
      </c>
      <c r="C749" s="4"/>
    </row>
    <row r="750" spans="1:3" x14ac:dyDescent="0.25">
      <c r="A750" s="3" t="s">
        <v>708</v>
      </c>
      <c r="B750" s="3">
        <v>0</v>
      </c>
      <c r="C750" s="4"/>
    </row>
    <row r="751" spans="1:3" x14ac:dyDescent="0.25">
      <c r="A751" s="3" t="s">
        <v>709</v>
      </c>
      <c r="B751" s="3">
        <v>0</v>
      </c>
      <c r="C751" s="4"/>
    </row>
    <row r="752" spans="1:3" x14ac:dyDescent="0.25">
      <c r="A752" s="3" t="s">
        <v>710</v>
      </c>
      <c r="B752" s="3">
        <v>0</v>
      </c>
      <c r="C752" s="4"/>
    </row>
    <row r="753" spans="1:3" x14ac:dyDescent="0.25">
      <c r="B753" s="3">
        <v>0</v>
      </c>
      <c r="C753" s="2"/>
    </row>
    <row r="754" spans="1:3" x14ac:dyDescent="0.25">
      <c r="A754" s="3" t="s">
        <v>711</v>
      </c>
      <c r="B754" s="3">
        <v>0</v>
      </c>
      <c r="C754" s="4"/>
    </row>
    <row r="755" spans="1:3" x14ac:dyDescent="0.25">
      <c r="B755" s="3">
        <v>0</v>
      </c>
      <c r="C755" s="2"/>
    </row>
    <row r="756" spans="1:3" x14ac:dyDescent="0.25">
      <c r="A756" s="3" t="s">
        <v>712</v>
      </c>
      <c r="B756" s="3">
        <v>0</v>
      </c>
      <c r="C756" s="4"/>
    </row>
    <row r="757" spans="1:3" x14ac:dyDescent="0.25">
      <c r="A757" s="3" t="s">
        <v>713</v>
      </c>
      <c r="B757" s="3">
        <v>0</v>
      </c>
      <c r="C757" s="4"/>
    </row>
    <row r="758" spans="1:3" x14ac:dyDescent="0.25">
      <c r="A758" s="3" t="s">
        <v>714</v>
      </c>
      <c r="B758" s="3">
        <v>0</v>
      </c>
      <c r="C758" s="4"/>
    </row>
    <row r="759" spans="1:3" x14ac:dyDescent="0.25">
      <c r="A759" s="3" t="s">
        <v>715</v>
      </c>
      <c r="B759" s="3">
        <v>0</v>
      </c>
      <c r="C759" s="4"/>
    </row>
    <row r="760" spans="1:3" x14ac:dyDescent="0.25">
      <c r="A760" s="3" t="s">
        <v>716</v>
      </c>
      <c r="B760" s="3">
        <v>0</v>
      </c>
      <c r="C760" s="4"/>
    </row>
    <row r="761" spans="1:3" x14ac:dyDescent="0.25">
      <c r="A761" s="3" t="s">
        <v>717</v>
      </c>
      <c r="B761" s="3">
        <v>0</v>
      </c>
      <c r="C761" s="4"/>
    </row>
    <row r="762" spans="1:3" x14ac:dyDescent="0.25">
      <c r="A762" s="3" t="s">
        <v>718</v>
      </c>
      <c r="B762" s="3">
        <v>0</v>
      </c>
      <c r="C762" s="4"/>
    </row>
    <row r="763" spans="1:3" x14ac:dyDescent="0.25">
      <c r="A763" s="3" t="s">
        <v>719</v>
      </c>
      <c r="B763" s="3">
        <v>0</v>
      </c>
      <c r="C763" s="4"/>
    </row>
    <row r="764" spans="1:3" x14ac:dyDescent="0.25">
      <c r="A764" s="3" t="s">
        <v>720</v>
      </c>
      <c r="B764" s="3">
        <v>0</v>
      </c>
      <c r="C764" s="4"/>
    </row>
    <row r="765" spans="1:3" x14ac:dyDescent="0.25">
      <c r="A765" s="3" t="s">
        <v>721</v>
      </c>
      <c r="B765" s="3">
        <v>0</v>
      </c>
      <c r="C765" s="4"/>
    </row>
    <row r="766" spans="1:3" x14ac:dyDescent="0.25">
      <c r="A766" s="3" t="s">
        <v>722</v>
      </c>
      <c r="B766" s="3">
        <v>0</v>
      </c>
      <c r="C766" s="4"/>
    </row>
    <row r="767" spans="1:3" x14ac:dyDescent="0.25">
      <c r="A767" s="3" t="s">
        <v>723</v>
      </c>
      <c r="B767" s="3">
        <v>0</v>
      </c>
      <c r="C767" s="4"/>
    </row>
    <row r="768" spans="1:3" x14ac:dyDescent="0.25">
      <c r="A768" s="3" t="s">
        <v>724</v>
      </c>
      <c r="B768" s="3">
        <v>0</v>
      </c>
      <c r="C768" s="4"/>
    </row>
    <row r="769" spans="1:3" x14ac:dyDescent="0.25">
      <c r="A769" s="3" t="s">
        <v>725</v>
      </c>
      <c r="B769" s="3">
        <v>0</v>
      </c>
      <c r="C769" s="4"/>
    </row>
    <row r="770" spans="1:3" x14ac:dyDescent="0.25">
      <c r="A770" s="3" t="s">
        <v>726</v>
      </c>
      <c r="B770" s="3">
        <v>0</v>
      </c>
      <c r="C770" s="4"/>
    </row>
    <row r="771" spans="1:3" x14ac:dyDescent="0.25">
      <c r="A771" s="3" t="s">
        <v>727</v>
      </c>
      <c r="B771" s="3">
        <v>0</v>
      </c>
      <c r="C771" s="4"/>
    </row>
    <row r="772" spans="1:3" x14ac:dyDescent="0.25">
      <c r="A772" s="3" t="s">
        <v>728</v>
      </c>
      <c r="B772" s="3">
        <v>0</v>
      </c>
      <c r="C772" s="4"/>
    </row>
    <row r="773" spans="1:3" x14ac:dyDescent="0.25">
      <c r="A773" s="3" t="s">
        <v>729</v>
      </c>
      <c r="B773" s="3">
        <v>0</v>
      </c>
      <c r="C773" s="4"/>
    </row>
    <row r="774" spans="1:3" x14ac:dyDescent="0.25">
      <c r="A774" s="3" t="s">
        <v>730</v>
      </c>
      <c r="B774" s="3">
        <v>0</v>
      </c>
      <c r="C774" s="4"/>
    </row>
    <row r="775" spans="1:3" x14ac:dyDescent="0.25">
      <c r="A775" s="3" t="s">
        <v>731</v>
      </c>
      <c r="B775" s="3">
        <v>0</v>
      </c>
      <c r="C775" s="4"/>
    </row>
    <row r="776" spans="1:3" x14ac:dyDescent="0.25">
      <c r="A776" s="3" t="s">
        <v>732</v>
      </c>
      <c r="B776" s="3">
        <v>0</v>
      </c>
      <c r="C776" s="4"/>
    </row>
    <row r="777" spans="1:3" x14ac:dyDescent="0.25">
      <c r="A777" s="3" t="s">
        <v>733</v>
      </c>
      <c r="B777" s="3">
        <v>0</v>
      </c>
      <c r="C777" s="4"/>
    </row>
    <row r="778" spans="1:3" x14ac:dyDescent="0.25">
      <c r="A778" s="3" t="s">
        <v>734</v>
      </c>
      <c r="B778" s="3">
        <v>0</v>
      </c>
      <c r="C778" s="4"/>
    </row>
    <row r="779" spans="1:3" x14ac:dyDescent="0.25">
      <c r="A779" s="3" t="s">
        <v>735</v>
      </c>
      <c r="B779" s="3">
        <v>0</v>
      </c>
      <c r="C779" s="4"/>
    </row>
    <row r="780" spans="1:3" x14ac:dyDescent="0.25">
      <c r="A780" s="3" t="s">
        <v>736</v>
      </c>
      <c r="B780" s="3">
        <v>0</v>
      </c>
      <c r="C780" s="4">
        <v>0</v>
      </c>
    </row>
    <row r="781" spans="1:3" x14ac:dyDescent="0.25">
      <c r="A781" s="3" t="s">
        <v>737</v>
      </c>
      <c r="B781" s="3">
        <v>0</v>
      </c>
      <c r="C781" s="4"/>
    </row>
    <row r="782" spans="1:3" x14ac:dyDescent="0.25">
      <c r="A782" s="3" t="s">
        <v>738</v>
      </c>
      <c r="B782" s="3">
        <v>0</v>
      </c>
      <c r="C782" s="4"/>
    </row>
    <row r="783" spans="1:3" x14ac:dyDescent="0.25">
      <c r="A783" s="3" t="s">
        <v>739</v>
      </c>
      <c r="B783" s="3">
        <v>0</v>
      </c>
      <c r="C783" s="4"/>
    </row>
    <row r="784" spans="1:3" x14ac:dyDescent="0.25">
      <c r="A784" s="3" t="s">
        <v>740</v>
      </c>
      <c r="B784" s="3">
        <v>0</v>
      </c>
      <c r="C784" s="4"/>
    </row>
    <row r="785" spans="1:3" x14ac:dyDescent="0.25">
      <c r="A785" s="3" t="s">
        <v>741</v>
      </c>
      <c r="B785" s="3">
        <v>0</v>
      </c>
      <c r="C785" s="4"/>
    </row>
    <row r="786" spans="1:3" x14ac:dyDescent="0.25">
      <c r="A786" s="3" t="s">
        <v>742</v>
      </c>
      <c r="B786" s="3">
        <v>0</v>
      </c>
      <c r="C786" s="4"/>
    </row>
    <row r="787" spans="1:3" x14ac:dyDescent="0.25">
      <c r="A787" s="3" t="s">
        <v>743</v>
      </c>
      <c r="B787" s="3">
        <v>0</v>
      </c>
      <c r="C787" s="4"/>
    </row>
    <row r="788" spans="1:3" x14ac:dyDescent="0.25">
      <c r="A788" s="3" t="s">
        <v>744</v>
      </c>
      <c r="B788" s="3">
        <v>0</v>
      </c>
      <c r="C788" s="4"/>
    </row>
    <row r="789" spans="1:3" x14ac:dyDescent="0.25">
      <c r="A789" s="3" t="s">
        <v>745</v>
      </c>
      <c r="B789" s="3">
        <v>0</v>
      </c>
      <c r="C789" s="4"/>
    </row>
    <row r="790" spans="1:3" x14ac:dyDescent="0.25">
      <c r="A790" s="3" t="s">
        <v>746</v>
      </c>
      <c r="B790" s="3">
        <v>0</v>
      </c>
      <c r="C790" s="4"/>
    </row>
    <row r="791" spans="1:3" x14ac:dyDescent="0.25">
      <c r="A791" s="3" t="s">
        <v>747</v>
      </c>
      <c r="B791" s="3">
        <v>0</v>
      </c>
      <c r="C791" s="4"/>
    </row>
    <row r="792" spans="1:3" x14ac:dyDescent="0.25">
      <c r="A792" s="3" t="s">
        <v>748</v>
      </c>
      <c r="B792" s="3">
        <v>0</v>
      </c>
      <c r="C792" s="4"/>
    </row>
    <row r="793" spans="1:3" x14ac:dyDescent="0.25">
      <c r="A793" s="3" t="s">
        <v>749</v>
      </c>
      <c r="B793" s="3">
        <v>0</v>
      </c>
      <c r="C793" s="4"/>
    </row>
    <row r="794" spans="1:3" x14ac:dyDescent="0.25">
      <c r="A794" s="3" t="s">
        <v>750</v>
      </c>
      <c r="B794" s="3">
        <v>0</v>
      </c>
      <c r="C794" s="4"/>
    </row>
    <row r="795" spans="1:3" x14ac:dyDescent="0.25">
      <c r="A795" s="3" t="s">
        <v>751</v>
      </c>
      <c r="B795" s="3">
        <v>0</v>
      </c>
      <c r="C795" s="4"/>
    </row>
    <row r="796" spans="1:3" x14ac:dyDescent="0.25">
      <c r="A796" s="3" t="s">
        <v>752</v>
      </c>
      <c r="B796" s="3">
        <v>0</v>
      </c>
      <c r="C796" s="4"/>
    </row>
    <row r="797" spans="1:3" x14ac:dyDescent="0.25">
      <c r="A797" s="3" t="s">
        <v>753</v>
      </c>
      <c r="B797" s="3">
        <v>0</v>
      </c>
      <c r="C797" s="4"/>
    </row>
    <row r="798" spans="1:3" x14ac:dyDescent="0.25">
      <c r="A798" s="3" t="s">
        <v>754</v>
      </c>
      <c r="B798" s="3">
        <v>0</v>
      </c>
      <c r="C798" s="4"/>
    </row>
    <row r="799" spans="1:3" x14ac:dyDescent="0.25">
      <c r="A799" s="3" t="s">
        <v>755</v>
      </c>
      <c r="B799" s="3">
        <v>0</v>
      </c>
      <c r="C799" s="4"/>
    </row>
    <row r="800" spans="1:3" x14ac:dyDescent="0.25">
      <c r="A800" s="3" t="s">
        <v>756</v>
      </c>
      <c r="B800" s="3">
        <v>0</v>
      </c>
      <c r="C800" s="4"/>
    </row>
    <row r="801" spans="1:3" x14ac:dyDescent="0.25">
      <c r="A801" s="3" t="s">
        <v>757</v>
      </c>
      <c r="B801" s="3">
        <v>0</v>
      </c>
      <c r="C801" s="4"/>
    </row>
    <row r="802" spans="1:3" x14ac:dyDescent="0.25">
      <c r="A802" s="3" t="s">
        <v>758</v>
      </c>
      <c r="B802" s="3">
        <v>0</v>
      </c>
      <c r="C802" s="4"/>
    </row>
    <row r="803" spans="1:3" x14ac:dyDescent="0.25">
      <c r="A803" s="3" t="s">
        <v>759</v>
      </c>
      <c r="B803" s="3">
        <v>0</v>
      </c>
      <c r="C803" s="4"/>
    </row>
    <row r="804" spans="1:3" x14ac:dyDescent="0.25">
      <c r="A804" s="3" t="s">
        <v>760</v>
      </c>
      <c r="B804" s="3">
        <v>0</v>
      </c>
      <c r="C804" s="4"/>
    </row>
    <row r="805" spans="1:3" x14ac:dyDescent="0.25">
      <c r="A805" s="3" t="s">
        <v>761</v>
      </c>
      <c r="B805" s="3">
        <v>0</v>
      </c>
      <c r="C805" s="4"/>
    </row>
    <row r="806" spans="1:3" x14ac:dyDescent="0.25">
      <c r="A806" s="3" t="s">
        <v>762</v>
      </c>
      <c r="B806" s="3">
        <v>0</v>
      </c>
      <c r="C806" s="4"/>
    </row>
    <row r="807" spans="1:3" x14ac:dyDescent="0.25">
      <c r="A807" s="3" t="s">
        <v>763</v>
      </c>
      <c r="B807" s="3">
        <v>0</v>
      </c>
      <c r="C807" s="4"/>
    </row>
    <row r="808" spans="1:3" x14ac:dyDescent="0.25">
      <c r="A808" s="3" t="s">
        <v>764</v>
      </c>
      <c r="B808" s="3">
        <v>0</v>
      </c>
      <c r="C808" s="4"/>
    </row>
    <row r="809" spans="1:3" x14ac:dyDescent="0.25">
      <c r="A809" s="3" t="s">
        <v>765</v>
      </c>
      <c r="B809" s="3">
        <v>0</v>
      </c>
      <c r="C809" s="4"/>
    </row>
    <row r="810" spans="1:3" x14ac:dyDescent="0.25">
      <c r="A810" s="3" t="s">
        <v>766</v>
      </c>
      <c r="B810" s="3">
        <v>0</v>
      </c>
      <c r="C810" s="4">
        <v>0</v>
      </c>
    </row>
    <row r="811" spans="1:3" x14ac:dyDescent="0.25">
      <c r="A811" s="3" t="s">
        <v>767</v>
      </c>
      <c r="B811" s="3">
        <v>0</v>
      </c>
      <c r="C811" s="4">
        <v>0</v>
      </c>
    </row>
    <row r="812" spans="1:3" x14ac:dyDescent="0.25">
      <c r="A812" s="3" t="s">
        <v>755</v>
      </c>
      <c r="B812" s="3">
        <v>0</v>
      </c>
      <c r="C812" s="4"/>
    </row>
    <row r="813" spans="1:3" x14ac:dyDescent="0.25">
      <c r="A813" s="3" t="s">
        <v>755</v>
      </c>
      <c r="B813" s="3">
        <v>0</v>
      </c>
      <c r="C813" s="4">
        <v>0</v>
      </c>
    </row>
    <row r="814" spans="1:3" x14ac:dyDescent="0.25">
      <c r="A814" s="3" t="s">
        <v>768</v>
      </c>
      <c r="B814" s="3">
        <v>0</v>
      </c>
      <c r="C814" s="4"/>
    </row>
    <row r="815" spans="1:3" x14ac:dyDescent="0.25">
      <c r="A815" s="3" t="s">
        <v>769</v>
      </c>
      <c r="B815" s="3">
        <v>0</v>
      </c>
      <c r="C815" s="4">
        <v>0</v>
      </c>
    </row>
    <row r="816" spans="1:3" x14ac:dyDescent="0.25">
      <c r="A816" s="3" t="s">
        <v>770</v>
      </c>
      <c r="B816" s="3">
        <v>0</v>
      </c>
      <c r="C816" s="4"/>
    </row>
    <row r="817" spans="1:3" x14ac:dyDescent="0.25">
      <c r="A817" s="3" t="s">
        <v>771</v>
      </c>
      <c r="B817" s="3">
        <v>0</v>
      </c>
      <c r="C817" s="4"/>
    </row>
    <row r="818" spans="1:3" x14ac:dyDescent="0.25">
      <c r="A818" s="3" t="s">
        <v>772</v>
      </c>
      <c r="B818" s="3">
        <v>0</v>
      </c>
      <c r="C818" s="4"/>
    </row>
    <row r="819" spans="1:3" x14ac:dyDescent="0.25">
      <c r="A819" s="3" t="s">
        <v>773</v>
      </c>
      <c r="B819" s="3">
        <v>0</v>
      </c>
      <c r="C819" s="4"/>
    </row>
    <row r="820" spans="1:3" x14ac:dyDescent="0.25">
      <c r="A820" s="3" t="s">
        <v>758</v>
      </c>
      <c r="B820" s="3">
        <v>0</v>
      </c>
      <c r="C820" s="4">
        <v>0</v>
      </c>
    </row>
    <row r="821" spans="1:3" x14ac:dyDescent="0.25">
      <c r="A821" s="3" t="s">
        <v>774</v>
      </c>
      <c r="B821" s="3">
        <v>0</v>
      </c>
      <c r="C821" s="4"/>
    </row>
    <row r="822" spans="1:3" x14ac:dyDescent="0.25">
      <c r="A822" s="3" t="s">
        <v>775</v>
      </c>
      <c r="B822" s="3">
        <v>0</v>
      </c>
      <c r="C822" s="4"/>
    </row>
    <row r="823" spans="1:3" x14ac:dyDescent="0.25">
      <c r="A823" s="3" t="s">
        <v>776</v>
      </c>
      <c r="B823" s="3">
        <v>0</v>
      </c>
      <c r="C823" s="4"/>
    </row>
    <row r="824" spans="1:3" x14ac:dyDescent="0.25">
      <c r="A824" s="3" t="s">
        <v>777</v>
      </c>
      <c r="B824" s="3">
        <v>0</v>
      </c>
      <c r="C824" s="4"/>
    </row>
    <row r="825" spans="1:3" x14ac:dyDescent="0.25">
      <c r="A825" s="3" t="s">
        <v>778</v>
      </c>
      <c r="B825" s="3">
        <v>0</v>
      </c>
      <c r="C825" s="4"/>
    </row>
    <row r="826" spans="1:3" x14ac:dyDescent="0.25">
      <c r="A826" s="3" t="s">
        <v>779</v>
      </c>
      <c r="B826" s="3">
        <v>0</v>
      </c>
      <c r="C826" s="4"/>
    </row>
    <row r="827" spans="1:3" x14ac:dyDescent="0.25">
      <c r="A827" s="3" t="s">
        <v>780</v>
      </c>
      <c r="B827" s="3">
        <v>0</v>
      </c>
      <c r="C827" s="4"/>
    </row>
    <row r="828" spans="1:3" x14ac:dyDescent="0.25">
      <c r="A828" s="3" t="s">
        <v>781</v>
      </c>
      <c r="B828" s="3">
        <v>0</v>
      </c>
      <c r="C828" s="4"/>
    </row>
    <row r="829" spans="1:3" x14ac:dyDescent="0.25">
      <c r="B829" s="3">
        <v>0</v>
      </c>
      <c r="C829" s="2"/>
    </row>
    <row r="830" spans="1:3" x14ac:dyDescent="0.25">
      <c r="A830" s="3" t="s">
        <v>782</v>
      </c>
      <c r="B830" s="3">
        <v>0</v>
      </c>
      <c r="C830" s="4"/>
    </row>
    <row r="831" spans="1:3" x14ac:dyDescent="0.25">
      <c r="A831" s="3" t="s">
        <v>783</v>
      </c>
      <c r="B831" s="3">
        <v>0</v>
      </c>
      <c r="C831" s="4"/>
    </row>
    <row r="832" spans="1:3" x14ac:dyDescent="0.25">
      <c r="A832" s="3" t="s">
        <v>65</v>
      </c>
      <c r="B832" s="3">
        <v>0</v>
      </c>
      <c r="C832" s="4"/>
    </row>
    <row r="833" spans="1:3" x14ac:dyDescent="0.25">
      <c r="A833" s="3" t="s">
        <v>784</v>
      </c>
      <c r="B833" s="3">
        <v>0</v>
      </c>
      <c r="C833" s="4"/>
    </row>
    <row r="834" spans="1:3" x14ac:dyDescent="0.25">
      <c r="A834" s="3" t="s">
        <v>785</v>
      </c>
      <c r="B834" s="3">
        <v>0</v>
      </c>
      <c r="C834" s="4"/>
    </row>
    <row r="835" spans="1:3" x14ac:dyDescent="0.25">
      <c r="A835" s="3" t="s">
        <v>786</v>
      </c>
      <c r="B835" s="3">
        <v>0</v>
      </c>
      <c r="C835" s="4"/>
    </row>
    <row r="836" spans="1:3" x14ac:dyDescent="0.25">
      <c r="A836" s="3" t="s">
        <v>787</v>
      </c>
      <c r="B836" s="3">
        <v>0</v>
      </c>
      <c r="C836" s="4"/>
    </row>
    <row r="837" spans="1:3" x14ac:dyDescent="0.25">
      <c r="A837" s="3" t="s">
        <v>788</v>
      </c>
      <c r="B837" s="3">
        <v>0</v>
      </c>
      <c r="C837" s="4"/>
    </row>
    <row r="838" spans="1:3" x14ac:dyDescent="0.25">
      <c r="A838" s="3" t="s">
        <v>789</v>
      </c>
      <c r="B838" s="3">
        <v>0</v>
      </c>
      <c r="C838" s="4"/>
    </row>
    <row r="839" spans="1:3" x14ac:dyDescent="0.25">
      <c r="A839" s="3" t="s">
        <v>790</v>
      </c>
      <c r="B839" s="3">
        <v>0</v>
      </c>
      <c r="C839" s="4"/>
    </row>
    <row r="840" spans="1:3" x14ac:dyDescent="0.25">
      <c r="A840" s="3" t="s">
        <v>791</v>
      </c>
      <c r="B840" s="3">
        <v>0</v>
      </c>
      <c r="C840" s="4"/>
    </row>
    <row r="841" spans="1:3" x14ac:dyDescent="0.25">
      <c r="A841" s="3" t="s">
        <v>792</v>
      </c>
      <c r="B841" s="3">
        <v>0</v>
      </c>
      <c r="C841" s="4"/>
    </row>
    <row r="842" spans="1:3" x14ac:dyDescent="0.25">
      <c r="A842" s="3" t="s">
        <v>793</v>
      </c>
      <c r="B842" s="3">
        <v>0</v>
      </c>
      <c r="C842" s="4"/>
    </row>
    <row r="843" spans="1:3" x14ac:dyDescent="0.25">
      <c r="A843" s="3" t="s">
        <v>794</v>
      </c>
      <c r="B843" s="3">
        <v>0</v>
      </c>
      <c r="C843" s="4"/>
    </row>
    <row r="844" spans="1:3" x14ac:dyDescent="0.25">
      <c r="A844" s="3" t="s">
        <v>795</v>
      </c>
      <c r="B844" s="3">
        <v>0</v>
      </c>
      <c r="C844" s="4"/>
    </row>
    <row r="845" spans="1:3" x14ac:dyDescent="0.25">
      <c r="A845" s="3" t="s">
        <v>796</v>
      </c>
      <c r="B845" s="3">
        <v>0</v>
      </c>
      <c r="C845" s="4"/>
    </row>
    <row r="846" spans="1:3" x14ac:dyDescent="0.25">
      <c r="A846" s="3" t="s">
        <v>797</v>
      </c>
      <c r="B846" s="3">
        <v>0</v>
      </c>
      <c r="C846" s="4"/>
    </row>
    <row r="847" spans="1:3" x14ac:dyDescent="0.25">
      <c r="A847" s="3" t="s">
        <v>798</v>
      </c>
      <c r="B847" s="3">
        <v>0</v>
      </c>
      <c r="C847" s="4"/>
    </row>
    <row r="848" spans="1:3" x14ac:dyDescent="0.25">
      <c r="A848" s="3" t="s">
        <v>799</v>
      </c>
      <c r="B848" s="3">
        <v>0</v>
      </c>
      <c r="C848" s="4"/>
    </row>
    <row r="849" spans="1:3" x14ac:dyDescent="0.25">
      <c r="A849" s="3" t="s">
        <v>800</v>
      </c>
      <c r="B849" s="3">
        <v>0</v>
      </c>
      <c r="C849" s="4"/>
    </row>
    <row r="850" spans="1:3" x14ac:dyDescent="0.25">
      <c r="A850" s="3" t="s">
        <v>801</v>
      </c>
      <c r="B850" s="3">
        <v>0</v>
      </c>
      <c r="C850" s="4"/>
    </row>
    <row r="851" spans="1:3" x14ac:dyDescent="0.25">
      <c r="A851" s="3" t="s">
        <v>802</v>
      </c>
      <c r="B851" s="3">
        <v>0</v>
      </c>
      <c r="C851" s="4"/>
    </row>
    <row r="852" spans="1:3" x14ac:dyDescent="0.25">
      <c r="A852" s="3" t="s">
        <v>803</v>
      </c>
      <c r="B852" s="3">
        <v>0</v>
      </c>
      <c r="C852" s="4">
        <v>30</v>
      </c>
    </row>
    <row r="853" spans="1:3" x14ac:dyDescent="0.25">
      <c r="A853" s="3" t="s">
        <v>803</v>
      </c>
      <c r="B853" s="3">
        <v>0</v>
      </c>
      <c r="C853" s="4">
        <v>36</v>
      </c>
    </row>
    <row r="854" spans="1:3" x14ac:dyDescent="0.25">
      <c r="A854" s="3" t="s">
        <v>803</v>
      </c>
      <c r="B854" s="3">
        <v>0</v>
      </c>
      <c r="C854" s="4">
        <v>38</v>
      </c>
    </row>
    <row r="855" spans="1:3" x14ac:dyDescent="0.25">
      <c r="A855" s="3" t="s">
        <v>803</v>
      </c>
      <c r="B855" s="3">
        <v>0</v>
      </c>
      <c r="C855" s="4">
        <v>40</v>
      </c>
    </row>
    <row r="856" spans="1:3" x14ac:dyDescent="0.25">
      <c r="A856" s="3" t="s">
        <v>803</v>
      </c>
      <c r="B856" s="3">
        <v>0</v>
      </c>
      <c r="C856" s="4">
        <v>34</v>
      </c>
    </row>
    <row r="857" spans="1:3" x14ac:dyDescent="0.25">
      <c r="A857" s="3" t="s">
        <v>804</v>
      </c>
      <c r="B857" s="3">
        <v>0</v>
      </c>
      <c r="C857" s="4">
        <v>0</v>
      </c>
    </row>
    <row r="858" spans="1:3" x14ac:dyDescent="0.25">
      <c r="A858" s="3" t="s">
        <v>805</v>
      </c>
      <c r="B858" s="3">
        <v>0</v>
      </c>
      <c r="C858" s="4"/>
    </row>
    <row r="859" spans="1:3" x14ac:dyDescent="0.25">
      <c r="B859" s="3">
        <v>0</v>
      </c>
      <c r="C859" s="2"/>
    </row>
    <row r="860" spans="1:3" x14ac:dyDescent="0.25">
      <c r="A860" s="3" t="s">
        <v>806</v>
      </c>
      <c r="B860" s="3">
        <v>0</v>
      </c>
      <c r="C860" s="4"/>
    </row>
    <row r="861" spans="1:3" x14ac:dyDescent="0.25">
      <c r="A861" s="3" t="s">
        <v>807</v>
      </c>
      <c r="B861" s="3">
        <v>0</v>
      </c>
      <c r="C861" s="4"/>
    </row>
    <row r="862" spans="1:3" x14ac:dyDescent="0.25">
      <c r="A862" s="3" t="s">
        <v>808</v>
      </c>
      <c r="B862" s="3">
        <v>0</v>
      </c>
      <c r="C862" s="4"/>
    </row>
    <row r="863" spans="1:3" x14ac:dyDescent="0.25">
      <c r="A863" s="3" t="s">
        <v>809</v>
      </c>
      <c r="B863" s="3">
        <v>0</v>
      </c>
      <c r="C863" s="4"/>
    </row>
    <row r="864" spans="1:3" x14ac:dyDescent="0.25">
      <c r="A864" s="3" t="s">
        <v>810</v>
      </c>
      <c r="B864" s="3">
        <v>0</v>
      </c>
      <c r="C864" s="4"/>
    </row>
    <row r="865" spans="1:3" x14ac:dyDescent="0.25">
      <c r="A865" s="3" t="s">
        <v>803</v>
      </c>
      <c r="B865" s="3">
        <v>0</v>
      </c>
      <c r="C865" s="4">
        <v>32</v>
      </c>
    </row>
    <row r="866" spans="1:3" x14ac:dyDescent="0.25">
      <c r="A866" s="3" t="s">
        <v>803</v>
      </c>
      <c r="B866" s="3">
        <v>0</v>
      </c>
      <c r="C866" s="4">
        <v>42</v>
      </c>
    </row>
    <row r="867" spans="1:3" x14ac:dyDescent="0.25">
      <c r="A867" s="3" t="s">
        <v>804</v>
      </c>
      <c r="B867" s="3">
        <v>0</v>
      </c>
      <c r="C867" s="4"/>
    </row>
    <row r="868" spans="1:3" x14ac:dyDescent="0.25">
      <c r="A868" s="3" t="s">
        <v>811</v>
      </c>
      <c r="B868" s="3">
        <v>0</v>
      </c>
      <c r="C868" s="4"/>
    </row>
    <row r="869" spans="1:3" x14ac:dyDescent="0.25">
      <c r="A869" s="3" t="s">
        <v>812</v>
      </c>
      <c r="B869" s="3">
        <v>0</v>
      </c>
      <c r="C869" s="4"/>
    </row>
    <row r="870" spans="1:3" x14ac:dyDescent="0.25">
      <c r="A870" s="3" t="s">
        <v>813</v>
      </c>
      <c r="B870" s="3">
        <v>0</v>
      </c>
      <c r="C870" s="4"/>
    </row>
    <row r="871" spans="1:3" x14ac:dyDescent="0.25">
      <c r="A871" s="3" t="s">
        <v>814</v>
      </c>
      <c r="B871" s="3">
        <v>0</v>
      </c>
      <c r="C871" s="4"/>
    </row>
    <row r="872" spans="1:3" x14ac:dyDescent="0.25">
      <c r="A872" s="3" t="s">
        <v>815</v>
      </c>
      <c r="B872" s="3">
        <v>0</v>
      </c>
      <c r="C872" s="4"/>
    </row>
    <row r="873" spans="1:3" x14ac:dyDescent="0.25">
      <c r="A873" s="3" t="s">
        <v>816</v>
      </c>
      <c r="B873" s="3">
        <v>0</v>
      </c>
      <c r="C873" s="4"/>
    </row>
    <row r="874" spans="1:3" x14ac:dyDescent="0.25">
      <c r="A874" s="3" t="s">
        <v>817</v>
      </c>
      <c r="B874" s="3">
        <v>0</v>
      </c>
      <c r="C874" s="4"/>
    </row>
    <row r="875" spans="1:3" x14ac:dyDescent="0.25">
      <c r="A875" s="3" t="s">
        <v>818</v>
      </c>
      <c r="B875" s="3">
        <v>0</v>
      </c>
      <c r="C875" s="4"/>
    </row>
    <row r="876" spans="1:3" x14ac:dyDescent="0.25">
      <c r="A876" s="3" t="s">
        <v>819</v>
      </c>
      <c r="B876" s="3">
        <v>0</v>
      </c>
      <c r="C876" s="4"/>
    </row>
    <row r="877" spans="1:3" x14ac:dyDescent="0.25">
      <c r="A877" s="3" t="s">
        <v>820</v>
      </c>
      <c r="B877" s="3">
        <v>0</v>
      </c>
      <c r="C877" s="4"/>
    </row>
    <row r="878" spans="1:3" x14ac:dyDescent="0.25">
      <c r="B878" s="3">
        <v>0</v>
      </c>
      <c r="C878" s="2"/>
    </row>
    <row r="879" spans="1:3" x14ac:dyDescent="0.25">
      <c r="A879" s="3" t="s">
        <v>821</v>
      </c>
      <c r="B879" s="3">
        <v>0</v>
      </c>
      <c r="C879" s="4"/>
    </row>
    <row r="880" spans="1:3" x14ac:dyDescent="0.25">
      <c r="A880" s="3" t="s">
        <v>822</v>
      </c>
      <c r="B880" s="3">
        <v>0</v>
      </c>
      <c r="C880" s="4"/>
    </row>
    <row r="881" spans="1:3" x14ac:dyDescent="0.25">
      <c r="A881" s="3" t="s">
        <v>823</v>
      </c>
      <c r="B881" s="3">
        <v>0</v>
      </c>
      <c r="C881" s="4"/>
    </row>
    <row r="882" spans="1:3" x14ac:dyDescent="0.25">
      <c r="A882" s="3" t="s">
        <v>824</v>
      </c>
      <c r="B882" s="3">
        <v>0</v>
      </c>
      <c r="C882" s="4"/>
    </row>
    <row r="883" spans="1:3" x14ac:dyDescent="0.25">
      <c r="A883" s="3" t="s">
        <v>825</v>
      </c>
      <c r="B883" s="3">
        <v>0</v>
      </c>
      <c r="C883" s="4"/>
    </row>
    <row r="884" spans="1:3" x14ac:dyDescent="0.25">
      <c r="A884" s="3" t="s">
        <v>826</v>
      </c>
      <c r="B884" s="3">
        <v>0</v>
      </c>
      <c r="C884" s="4"/>
    </row>
    <row r="885" spans="1:3" x14ac:dyDescent="0.25">
      <c r="A885" s="3" t="s">
        <v>827</v>
      </c>
      <c r="B885" s="3">
        <v>0</v>
      </c>
      <c r="C885" s="4"/>
    </row>
    <row r="886" spans="1:3" x14ac:dyDescent="0.25">
      <c r="A886" s="3" t="s">
        <v>828</v>
      </c>
      <c r="B886" s="3">
        <v>0</v>
      </c>
      <c r="C886" s="4"/>
    </row>
    <row r="887" spans="1:3" x14ac:dyDescent="0.25">
      <c r="A887" s="3" t="s">
        <v>829</v>
      </c>
      <c r="B887" s="3">
        <v>0</v>
      </c>
      <c r="C887" s="4"/>
    </row>
    <row r="888" spans="1:3" x14ac:dyDescent="0.25">
      <c r="A888" s="3" t="s">
        <v>830</v>
      </c>
      <c r="B888" s="3">
        <v>0</v>
      </c>
      <c r="C888" s="4"/>
    </row>
    <row r="889" spans="1:3" x14ac:dyDescent="0.25">
      <c r="A889" s="3" t="s">
        <v>831</v>
      </c>
      <c r="B889" s="3">
        <v>0</v>
      </c>
      <c r="C889" s="4"/>
    </row>
    <row r="890" spans="1:3" x14ac:dyDescent="0.25">
      <c r="A890" s="3" t="s">
        <v>832</v>
      </c>
      <c r="B890" s="3">
        <v>0</v>
      </c>
      <c r="C890" s="4"/>
    </row>
    <row r="891" spans="1:3" x14ac:dyDescent="0.25">
      <c r="A891" s="3" t="s">
        <v>833</v>
      </c>
      <c r="B891" s="3">
        <v>0</v>
      </c>
      <c r="C891" s="4"/>
    </row>
    <row r="892" spans="1:3" x14ac:dyDescent="0.25">
      <c r="A892" s="3" t="s">
        <v>834</v>
      </c>
      <c r="B892" s="3">
        <v>0</v>
      </c>
      <c r="C892" s="4"/>
    </row>
    <row r="893" spans="1:3" x14ac:dyDescent="0.25">
      <c r="A893" s="3" t="s">
        <v>835</v>
      </c>
      <c r="B893" s="3">
        <v>0</v>
      </c>
      <c r="C893" s="4"/>
    </row>
    <row r="894" spans="1:3" x14ac:dyDescent="0.25">
      <c r="A894" s="3" t="s">
        <v>836</v>
      </c>
      <c r="B894" s="3">
        <v>0</v>
      </c>
      <c r="C894" s="4"/>
    </row>
    <row r="895" spans="1:3" x14ac:dyDescent="0.25">
      <c r="A895" s="3" t="s">
        <v>837</v>
      </c>
      <c r="B895" s="3">
        <v>0</v>
      </c>
      <c r="C895" s="4"/>
    </row>
    <row r="896" spans="1:3" x14ac:dyDescent="0.25">
      <c r="A896" s="3" t="s">
        <v>838</v>
      </c>
      <c r="B896" s="3">
        <v>0</v>
      </c>
      <c r="C896" s="4"/>
    </row>
    <row r="897" spans="1:3" x14ac:dyDescent="0.25">
      <c r="A897" s="3" t="s">
        <v>839</v>
      </c>
      <c r="B897" s="3">
        <v>0</v>
      </c>
      <c r="C897" s="4"/>
    </row>
    <row r="898" spans="1:3" x14ac:dyDescent="0.25">
      <c r="A898" s="3" t="s">
        <v>840</v>
      </c>
      <c r="B898" s="3">
        <v>0</v>
      </c>
      <c r="C898" s="4"/>
    </row>
    <row r="899" spans="1:3" x14ac:dyDescent="0.25">
      <c r="B899" s="3">
        <v>0</v>
      </c>
      <c r="C899" s="2"/>
    </row>
    <row r="900" spans="1:3" x14ac:dyDescent="0.25">
      <c r="A900" s="3" t="s">
        <v>841</v>
      </c>
      <c r="B900" s="3">
        <v>0</v>
      </c>
      <c r="C900" s="4"/>
    </row>
    <row r="901" spans="1:3" x14ac:dyDescent="0.25">
      <c r="A901" s="3" t="s">
        <v>842</v>
      </c>
      <c r="B901" s="3">
        <v>0</v>
      </c>
      <c r="C901" s="4"/>
    </row>
    <row r="902" spans="1:3" x14ac:dyDescent="0.25">
      <c r="A902" s="3" t="s">
        <v>843</v>
      </c>
      <c r="B902" s="3">
        <v>0</v>
      </c>
      <c r="C902" s="4"/>
    </row>
    <row r="903" spans="1:3" x14ac:dyDescent="0.25">
      <c r="A903" s="3" t="s">
        <v>844</v>
      </c>
      <c r="B903" s="3">
        <v>0</v>
      </c>
      <c r="C903" s="4"/>
    </row>
    <row r="904" spans="1:3" x14ac:dyDescent="0.25">
      <c r="A904" s="3" t="s">
        <v>845</v>
      </c>
      <c r="B904" s="3">
        <v>0</v>
      </c>
      <c r="C904" s="4"/>
    </row>
    <row r="905" spans="1:3" x14ac:dyDescent="0.25">
      <c r="B905" s="3">
        <v>0</v>
      </c>
      <c r="C905" s="2"/>
    </row>
    <row r="906" spans="1:3" x14ac:dyDescent="0.25">
      <c r="A906" s="3" t="s">
        <v>846</v>
      </c>
      <c r="B906" s="3">
        <v>0</v>
      </c>
      <c r="C906" s="4"/>
    </row>
    <row r="907" spans="1:3" x14ac:dyDescent="0.25">
      <c r="A907" s="3" t="s">
        <v>847</v>
      </c>
      <c r="B907" s="3">
        <v>0</v>
      </c>
      <c r="C907" s="4"/>
    </row>
    <row r="908" spans="1:3" x14ac:dyDescent="0.25">
      <c r="B908" s="3">
        <v>0</v>
      </c>
      <c r="C908" s="2"/>
    </row>
    <row r="909" spans="1:3" x14ac:dyDescent="0.25">
      <c r="A909" s="3" t="s">
        <v>848</v>
      </c>
      <c r="B909" s="3">
        <v>0</v>
      </c>
      <c r="C909" s="4"/>
    </row>
    <row r="910" spans="1:3" x14ac:dyDescent="0.25">
      <c r="A910" s="3" t="s">
        <v>767</v>
      </c>
      <c r="B910" s="3">
        <v>0</v>
      </c>
      <c r="C910" s="4"/>
    </row>
    <row r="911" spans="1:3" x14ac:dyDescent="0.25">
      <c r="A911" s="3" t="s">
        <v>849</v>
      </c>
      <c r="B911" s="3">
        <v>0</v>
      </c>
      <c r="C911" s="4"/>
    </row>
    <row r="912" spans="1:3" x14ac:dyDescent="0.25">
      <c r="A912" s="3" t="s">
        <v>850</v>
      </c>
      <c r="B912" s="3">
        <v>0</v>
      </c>
      <c r="C912" s="4"/>
    </row>
    <row r="913" spans="1:3" x14ac:dyDescent="0.25">
      <c r="A913" s="3" t="s">
        <v>851</v>
      </c>
      <c r="B913" s="3">
        <v>0</v>
      </c>
      <c r="C913" s="4"/>
    </row>
    <row r="914" spans="1:3" x14ac:dyDescent="0.25">
      <c r="A914" s="3" t="s">
        <v>852</v>
      </c>
      <c r="B914" s="3">
        <v>0</v>
      </c>
      <c r="C914" s="4"/>
    </row>
    <row r="915" spans="1:3" x14ac:dyDescent="0.25">
      <c r="A915" s="3" t="s">
        <v>853</v>
      </c>
      <c r="B915" s="3">
        <v>0</v>
      </c>
      <c r="C915" s="4"/>
    </row>
    <row r="916" spans="1:3" x14ac:dyDescent="0.25">
      <c r="A916" s="3" t="s">
        <v>854</v>
      </c>
      <c r="B916" s="3">
        <v>0</v>
      </c>
      <c r="C916" s="4"/>
    </row>
    <row r="917" spans="1:3" x14ac:dyDescent="0.25">
      <c r="A917" s="3" t="s">
        <v>855</v>
      </c>
      <c r="B917" s="3">
        <v>0</v>
      </c>
      <c r="C917" s="4"/>
    </row>
    <row r="918" spans="1:3" x14ac:dyDescent="0.25">
      <c r="A918" s="3" t="s">
        <v>856</v>
      </c>
      <c r="B918" s="3">
        <v>0</v>
      </c>
      <c r="C918" s="4"/>
    </row>
    <row r="919" spans="1:3" x14ac:dyDescent="0.25">
      <c r="A919" s="3" t="s">
        <v>857</v>
      </c>
      <c r="B919" s="3">
        <v>0</v>
      </c>
      <c r="C919" s="4"/>
    </row>
    <row r="920" spans="1:3" x14ac:dyDescent="0.25">
      <c r="A920" s="3" t="s">
        <v>858</v>
      </c>
      <c r="B920" s="3">
        <v>0</v>
      </c>
      <c r="C920" s="4"/>
    </row>
    <row r="921" spans="1:3" x14ac:dyDescent="0.25">
      <c r="A921" s="3" t="s">
        <v>859</v>
      </c>
      <c r="B921" s="3">
        <v>0</v>
      </c>
      <c r="C921" s="4"/>
    </row>
    <row r="922" spans="1:3" x14ac:dyDescent="0.25">
      <c r="A922" s="3" t="s">
        <v>860</v>
      </c>
      <c r="B922" s="3">
        <v>0</v>
      </c>
      <c r="C922" s="4"/>
    </row>
    <row r="923" spans="1:3" x14ac:dyDescent="0.25">
      <c r="A923" s="3" t="s">
        <v>861</v>
      </c>
      <c r="B923" s="3">
        <v>0</v>
      </c>
      <c r="C923" s="4"/>
    </row>
    <row r="924" spans="1:3" x14ac:dyDescent="0.25">
      <c r="A924" s="3" t="s">
        <v>862</v>
      </c>
      <c r="B924" s="3">
        <v>0</v>
      </c>
      <c r="C924" s="4"/>
    </row>
    <row r="925" spans="1:3" x14ac:dyDescent="0.25">
      <c r="A925" s="3" t="s">
        <v>863</v>
      </c>
      <c r="B925" s="3">
        <v>0</v>
      </c>
      <c r="C925" s="4"/>
    </row>
    <row r="926" spans="1:3" x14ac:dyDescent="0.25">
      <c r="A926" s="3" t="s">
        <v>864</v>
      </c>
      <c r="B926" s="3">
        <v>0</v>
      </c>
      <c r="C926" s="4"/>
    </row>
    <row r="927" spans="1:3" x14ac:dyDescent="0.25">
      <c r="A927" s="3" t="s">
        <v>865</v>
      </c>
      <c r="B927" s="3">
        <v>0</v>
      </c>
      <c r="C927" s="4"/>
    </row>
    <row r="928" spans="1:3" x14ac:dyDescent="0.25">
      <c r="A928" s="3" t="s">
        <v>866</v>
      </c>
      <c r="B928" s="3">
        <v>0</v>
      </c>
      <c r="C928" s="4"/>
    </row>
    <row r="929" spans="1:3" x14ac:dyDescent="0.25">
      <c r="A929" s="3" t="s">
        <v>867</v>
      </c>
      <c r="B929" s="3">
        <v>0</v>
      </c>
      <c r="C929" s="4"/>
    </row>
    <row r="930" spans="1:3" x14ac:dyDescent="0.25">
      <c r="A930" s="3" t="s">
        <v>868</v>
      </c>
      <c r="B930" s="3">
        <v>0</v>
      </c>
      <c r="C930" s="4"/>
    </row>
    <row r="931" spans="1:3" x14ac:dyDescent="0.25">
      <c r="B931" s="3">
        <v>0</v>
      </c>
      <c r="C931" s="2"/>
    </row>
    <row r="932" spans="1:3" x14ac:dyDescent="0.25">
      <c r="A932" s="3" t="s">
        <v>869</v>
      </c>
      <c r="B932" s="3">
        <v>0</v>
      </c>
      <c r="C932" s="4"/>
    </row>
    <row r="933" spans="1:3" x14ac:dyDescent="0.25">
      <c r="A933" s="3" t="s">
        <v>870</v>
      </c>
      <c r="B933" s="3">
        <v>0</v>
      </c>
      <c r="C933" s="4"/>
    </row>
    <row r="934" spans="1:3" x14ac:dyDescent="0.25">
      <c r="A934" s="3" t="s">
        <v>871</v>
      </c>
      <c r="B934" s="3">
        <v>0</v>
      </c>
      <c r="C934" s="4"/>
    </row>
    <row r="935" spans="1:3" x14ac:dyDescent="0.25">
      <c r="A935" s="3" t="s">
        <v>872</v>
      </c>
      <c r="B935" s="3">
        <v>0</v>
      </c>
      <c r="C935" s="4"/>
    </row>
    <row r="936" spans="1:3" x14ac:dyDescent="0.25">
      <c r="A936" s="3" t="s">
        <v>873</v>
      </c>
      <c r="B936" s="3">
        <v>0</v>
      </c>
      <c r="C936" s="4"/>
    </row>
    <row r="937" spans="1:3" x14ac:dyDescent="0.25">
      <c r="A937" s="3" t="s">
        <v>874</v>
      </c>
      <c r="B937" s="3">
        <v>0</v>
      </c>
      <c r="C937" s="4"/>
    </row>
    <row r="938" spans="1:3" x14ac:dyDescent="0.25">
      <c r="B938" s="3">
        <v>0</v>
      </c>
      <c r="C938" s="2"/>
    </row>
    <row r="939" spans="1:3" x14ac:dyDescent="0.25">
      <c r="A939" s="3" t="s">
        <v>875</v>
      </c>
      <c r="B939" s="3">
        <v>0</v>
      </c>
      <c r="C939" s="4"/>
    </row>
    <row r="940" spans="1:3" x14ac:dyDescent="0.25">
      <c r="A940" s="3" t="s">
        <v>876</v>
      </c>
      <c r="B940" s="3">
        <v>0</v>
      </c>
      <c r="C940" s="4"/>
    </row>
    <row r="941" spans="1:3" x14ac:dyDescent="0.25">
      <c r="A941" s="3" t="s">
        <v>877</v>
      </c>
      <c r="B941" s="3">
        <v>0</v>
      </c>
      <c r="C941" s="4"/>
    </row>
    <row r="942" spans="1:3" x14ac:dyDescent="0.25">
      <c r="A942" s="3" t="s">
        <v>878</v>
      </c>
      <c r="B942" s="3">
        <v>0</v>
      </c>
      <c r="C942" s="4"/>
    </row>
    <row r="943" spans="1:3" x14ac:dyDescent="0.25">
      <c r="A943" s="3" t="s">
        <v>879</v>
      </c>
      <c r="B943" s="3">
        <v>0</v>
      </c>
      <c r="C943" s="4"/>
    </row>
    <row r="944" spans="1:3" x14ac:dyDescent="0.25">
      <c r="B944" s="3">
        <v>0</v>
      </c>
      <c r="C944" s="2"/>
    </row>
    <row r="945" spans="1:3" x14ac:dyDescent="0.25">
      <c r="A945" s="3" t="s">
        <v>880</v>
      </c>
      <c r="B945" s="3">
        <v>0</v>
      </c>
      <c r="C945" s="4"/>
    </row>
    <row r="946" spans="1:3" x14ac:dyDescent="0.25">
      <c r="A946" s="3" t="s">
        <v>881</v>
      </c>
      <c r="B946" s="3">
        <v>0</v>
      </c>
      <c r="C946" s="4"/>
    </row>
    <row r="947" spans="1:3" x14ac:dyDescent="0.25">
      <c r="A947" s="3" t="s">
        <v>882</v>
      </c>
      <c r="B947" s="3">
        <v>0</v>
      </c>
      <c r="C947" s="4"/>
    </row>
    <row r="948" spans="1:3" x14ac:dyDescent="0.25">
      <c r="A948" s="3" t="s">
        <v>883</v>
      </c>
      <c r="B948" s="3">
        <v>0</v>
      </c>
      <c r="C948" s="4"/>
    </row>
    <row r="949" spans="1:3" x14ac:dyDescent="0.25">
      <c r="A949" s="3" t="s">
        <v>884</v>
      </c>
      <c r="B949" s="3">
        <v>0</v>
      </c>
      <c r="C949" s="4"/>
    </row>
    <row r="950" spans="1:3" x14ac:dyDescent="0.25">
      <c r="A950" s="3" t="s">
        <v>885</v>
      </c>
      <c r="B950" s="3">
        <v>0</v>
      </c>
      <c r="C950" s="4"/>
    </row>
    <row r="951" spans="1:3" x14ac:dyDescent="0.25">
      <c r="A951" s="3" t="s">
        <v>886</v>
      </c>
      <c r="B951" s="3">
        <v>0</v>
      </c>
      <c r="C951" s="4"/>
    </row>
    <row r="952" spans="1:3" x14ac:dyDescent="0.25">
      <c r="A952" s="3" t="s">
        <v>887</v>
      </c>
      <c r="B952" s="3">
        <v>0</v>
      </c>
      <c r="C952" s="4"/>
    </row>
    <row r="953" spans="1:3" x14ac:dyDescent="0.25">
      <c r="A953" s="3" t="s">
        <v>888</v>
      </c>
      <c r="B953" s="3">
        <v>0</v>
      </c>
      <c r="C953" s="4"/>
    </row>
    <row r="954" spans="1:3" x14ac:dyDescent="0.25">
      <c r="A954" s="3" t="s">
        <v>889</v>
      </c>
      <c r="B954" s="3">
        <v>0</v>
      </c>
      <c r="C954" s="4"/>
    </row>
    <row r="955" spans="1:3" x14ac:dyDescent="0.25">
      <c r="A955" s="3" t="s">
        <v>890</v>
      </c>
      <c r="B955" s="3">
        <v>0</v>
      </c>
      <c r="C955" s="4"/>
    </row>
    <row r="956" spans="1:3" x14ac:dyDescent="0.25">
      <c r="A956" s="3" t="s">
        <v>891</v>
      </c>
      <c r="B956" s="3">
        <v>0</v>
      </c>
      <c r="C956" s="4"/>
    </row>
    <row r="957" spans="1:3" x14ac:dyDescent="0.25">
      <c r="A957" s="3" t="s">
        <v>892</v>
      </c>
      <c r="B957" s="3">
        <v>0</v>
      </c>
      <c r="C957" s="4"/>
    </row>
    <row r="958" spans="1:3" x14ac:dyDescent="0.25">
      <c r="A958" s="3" t="s">
        <v>893</v>
      </c>
      <c r="B958" s="3">
        <v>0</v>
      </c>
      <c r="C958" s="4"/>
    </row>
    <row r="959" spans="1:3" x14ac:dyDescent="0.25">
      <c r="A959" s="3" t="s">
        <v>894</v>
      </c>
      <c r="B959" s="3">
        <v>0</v>
      </c>
      <c r="C959" s="4"/>
    </row>
    <row r="960" spans="1:3" x14ac:dyDescent="0.25">
      <c r="A960" s="3" t="s">
        <v>895</v>
      </c>
      <c r="B960" s="3">
        <v>0</v>
      </c>
      <c r="C960" s="4"/>
    </row>
    <row r="961" spans="1:3" x14ac:dyDescent="0.25">
      <c r="A961" s="3" t="s">
        <v>896</v>
      </c>
      <c r="B961" s="3">
        <v>0</v>
      </c>
      <c r="C961" s="4"/>
    </row>
    <row r="962" spans="1:3" x14ac:dyDescent="0.25">
      <c r="A962" s="3" t="s">
        <v>897</v>
      </c>
      <c r="B962" s="3">
        <v>0</v>
      </c>
      <c r="C962" s="4"/>
    </row>
    <row r="963" spans="1:3" x14ac:dyDescent="0.25">
      <c r="A963" s="3" t="s">
        <v>898</v>
      </c>
      <c r="B963" s="3">
        <v>0</v>
      </c>
      <c r="C963" s="4"/>
    </row>
    <row r="964" spans="1:3" x14ac:dyDescent="0.25">
      <c r="A964" s="3" t="s">
        <v>899</v>
      </c>
      <c r="B964" s="3">
        <v>0</v>
      </c>
      <c r="C964" s="4"/>
    </row>
    <row r="965" spans="1:3" x14ac:dyDescent="0.25">
      <c r="A965" s="3" t="s">
        <v>900</v>
      </c>
      <c r="B965" s="3">
        <v>0</v>
      </c>
      <c r="C965" s="4"/>
    </row>
    <row r="966" spans="1:3" x14ac:dyDescent="0.25">
      <c r="A966" s="3" t="s">
        <v>901</v>
      </c>
      <c r="B966" s="3">
        <v>0</v>
      </c>
      <c r="C966" s="4"/>
    </row>
    <row r="967" spans="1:3" x14ac:dyDescent="0.25">
      <c r="A967" s="3" t="s">
        <v>902</v>
      </c>
      <c r="B967" s="3">
        <v>0</v>
      </c>
      <c r="C967" s="4"/>
    </row>
    <row r="968" spans="1:3" x14ac:dyDescent="0.25">
      <c r="A968" s="3" t="s">
        <v>903</v>
      </c>
      <c r="B968" s="3">
        <v>0</v>
      </c>
      <c r="C968" s="4"/>
    </row>
    <row r="969" spans="1:3" x14ac:dyDescent="0.25">
      <c r="A969" s="3" t="s">
        <v>904</v>
      </c>
      <c r="B969" s="3">
        <v>0</v>
      </c>
      <c r="C969" s="4"/>
    </row>
    <row r="970" spans="1:3" x14ac:dyDescent="0.25">
      <c r="A970" s="3" t="s">
        <v>905</v>
      </c>
      <c r="B970" s="3">
        <v>0</v>
      </c>
      <c r="C970" s="4"/>
    </row>
    <row r="971" spans="1:3" x14ac:dyDescent="0.25">
      <c r="A971" s="3" t="s">
        <v>766</v>
      </c>
      <c r="B971" s="3">
        <v>0</v>
      </c>
      <c r="C971" s="4"/>
    </row>
    <row r="972" spans="1:3" x14ac:dyDescent="0.25">
      <c r="A972" s="3" t="s">
        <v>906</v>
      </c>
      <c r="B972" s="3">
        <v>0</v>
      </c>
      <c r="C972" s="4"/>
    </row>
    <row r="973" spans="1:3" x14ac:dyDescent="0.25">
      <c r="A973" s="3" t="s">
        <v>907</v>
      </c>
      <c r="B973" s="3">
        <v>0</v>
      </c>
      <c r="C973" s="4"/>
    </row>
    <row r="974" spans="1:3" x14ac:dyDescent="0.25">
      <c r="A974" s="3" t="s">
        <v>908</v>
      </c>
      <c r="B974" s="3">
        <v>0</v>
      </c>
      <c r="C974" s="4"/>
    </row>
    <row r="975" spans="1:3" x14ac:dyDescent="0.25">
      <c r="A975" s="3" t="s">
        <v>909</v>
      </c>
      <c r="B975" s="3">
        <v>0</v>
      </c>
      <c r="C975" s="4"/>
    </row>
    <row r="976" spans="1:3" x14ac:dyDescent="0.25">
      <c r="B976" s="3">
        <v>0</v>
      </c>
      <c r="C976" s="2"/>
    </row>
    <row r="977" spans="1:3" x14ac:dyDescent="0.25">
      <c r="A977" s="3" t="s">
        <v>910</v>
      </c>
      <c r="B977" s="3">
        <v>0</v>
      </c>
      <c r="C977" s="4"/>
    </row>
    <row r="978" spans="1:3" x14ac:dyDescent="0.25">
      <c r="A978" s="3" t="s">
        <v>911</v>
      </c>
      <c r="B978" s="3">
        <v>0</v>
      </c>
      <c r="C978" s="4"/>
    </row>
    <row r="979" spans="1:3" x14ac:dyDescent="0.25">
      <c r="A979" s="3" t="s">
        <v>912</v>
      </c>
      <c r="B979" s="3">
        <v>0</v>
      </c>
      <c r="C979" s="4"/>
    </row>
    <row r="980" spans="1:3" x14ac:dyDescent="0.25">
      <c r="B980" s="3">
        <v>0</v>
      </c>
      <c r="C980" s="2"/>
    </row>
    <row r="981" spans="1:3" x14ac:dyDescent="0.25">
      <c r="A981" s="3" t="s">
        <v>913</v>
      </c>
      <c r="B981" s="3">
        <v>0</v>
      </c>
      <c r="C981" s="4"/>
    </row>
    <row r="982" spans="1:3" x14ac:dyDescent="0.25">
      <c r="A982" s="3" t="s">
        <v>914</v>
      </c>
      <c r="B982" s="3">
        <v>0</v>
      </c>
      <c r="C982" s="4"/>
    </row>
    <row r="983" spans="1:3" x14ac:dyDescent="0.25">
      <c r="A983" s="3" t="s">
        <v>915</v>
      </c>
      <c r="B983" s="3">
        <v>0</v>
      </c>
      <c r="C983" s="4"/>
    </row>
    <row r="984" spans="1:3" x14ac:dyDescent="0.25">
      <c r="A984" s="3" t="s">
        <v>916</v>
      </c>
      <c r="B984" s="3">
        <v>0</v>
      </c>
      <c r="C984" s="4"/>
    </row>
    <row r="985" spans="1:3" x14ac:dyDescent="0.25">
      <c r="A985" s="3" t="s">
        <v>917</v>
      </c>
      <c r="B985" s="3">
        <v>0</v>
      </c>
      <c r="C985" s="4"/>
    </row>
    <row r="986" spans="1:3" x14ac:dyDescent="0.25">
      <c r="A986" s="3" t="s">
        <v>918</v>
      </c>
      <c r="B986" s="3">
        <v>0</v>
      </c>
      <c r="C986" s="4"/>
    </row>
    <row r="987" spans="1:3" x14ac:dyDescent="0.25">
      <c r="A987" s="3" t="s">
        <v>919</v>
      </c>
      <c r="B987" s="3">
        <v>0</v>
      </c>
      <c r="C987" s="4"/>
    </row>
    <row r="988" spans="1:3" x14ac:dyDescent="0.25">
      <c r="A988" s="3" t="s">
        <v>920</v>
      </c>
      <c r="B988" s="3">
        <v>0</v>
      </c>
      <c r="C988" s="4"/>
    </row>
    <row r="989" spans="1:3" x14ac:dyDescent="0.25">
      <c r="A989" s="3" t="s">
        <v>921</v>
      </c>
      <c r="B989" s="3">
        <v>0</v>
      </c>
      <c r="C989" s="4"/>
    </row>
    <row r="990" spans="1:3" x14ac:dyDescent="0.25">
      <c r="A990" s="3" t="s">
        <v>922</v>
      </c>
      <c r="B990" s="3">
        <v>0</v>
      </c>
      <c r="C990" s="4"/>
    </row>
    <row r="991" spans="1:3" x14ac:dyDescent="0.25">
      <c r="A991" s="3" t="s">
        <v>923</v>
      </c>
      <c r="B991" s="3">
        <v>0</v>
      </c>
      <c r="C991" s="4"/>
    </row>
    <row r="992" spans="1:3" x14ac:dyDescent="0.25">
      <c r="A992" s="3" t="s">
        <v>924</v>
      </c>
      <c r="B992" s="3">
        <v>0</v>
      </c>
      <c r="C992" s="4"/>
    </row>
    <row r="993" spans="1:3" x14ac:dyDescent="0.25">
      <c r="A993" s="3" t="s">
        <v>925</v>
      </c>
      <c r="B993" s="3">
        <v>0</v>
      </c>
      <c r="C993" s="4"/>
    </row>
    <row r="994" spans="1:3" x14ac:dyDescent="0.25">
      <c r="A994" s="3" t="s">
        <v>926</v>
      </c>
      <c r="B994" s="3">
        <v>0</v>
      </c>
      <c r="C994" s="4"/>
    </row>
    <row r="995" spans="1:3" x14ac:dyDescent="0.25">
      <c r="A995" s="3" t="s">
        <v>927</v>
      </c>
      <c r="B995" s="3">
        <v>0</v>
      </c>
      <c r="C995" s="4"/>
    </row>
    <row r="996" spans="1:3" x14ac:dyDescent="0.25">
      <c r="A996" s="3" t="s">
        <v>769</v>
      </c>
      <c r="B996" s="3">
        <v>0</v>
      </c>
      <c r="C996" s="4"/>
    </row>
    <row r="997" spans="1:3" x14ac:dyDescent="0.25">
      <c r="A997" s="3" t="s">
        <v>928</v>
      </c>
      <c r="B997" s="3">
        <v>0</v>
      </c>
      <c r="C997" s="4"/>
    </row>
    <row r="998" spans="1:3" x14ac:dyDescent="0.25">
      <c r="A998" s="3" t="s">
        <v>929</v>
      </c>
      <c r="B998" s="3">
        <v>0</v>
      </c>
      <c r="C998" s="4"/>
    </row>
    <row r="999" spans="1:3" x14ac:dyDescent="0.25">
      <c r="A999" s="3" t="s">
        <v>930</v>
      </c>
      <c r="B999" s="3">
        <v>0</v>
      </c>
      <c r="C999" s="4"/>
    </row>
    <row r="1000" spans="1:3" x14ac:dyDescent="0.25">
      <c r="A1000" s="3" t="s">
        <v>931</v>
      </c>
      <c r="B1000" s="3">
        <v>0</v>
      </c>
      <c r="C1000" s="4"/>
    </row>
    <row r="1001" spans="1:3" x14ac:dyDescent="0.25">
      <c r="A1001" s="3" t="s">
        <v>932</v>
      </c>
      <c r="B1001" s="3">
        <v>0</v>
      </c>
      <c r="C1001" s="4"/>
    </row>
    <row r="1002" spans="1:3" x14ac:dyDescent="0.25">
      <c r="A1002" s="3" t="s">
        <v>933</v>
      </c>
      <c r="B1002" s="3">
        <v>0</v>
      </c>
      <c r="C1002" s="4"/>
    </row>
    <row r="1003" spans="1:3" x14ac:dyDescent="0.25">
      <c r="A1003" s="3" t="s">
        <v>934</v>
      </c>
      <c r="B1003" s="3">
        <v>0</v>
      </c>
      <c r="C1003" s="4"/>
    </row>
    <row r="1004" spans="1:3" x14ac:dyDescent="0.25">
      <c r="A1004" s="3" t="s">
        <v>935</v>
      </c>
      <c r="B1004" s="3">
        <v>0</v>
      </c>
      <c r="C1004" s="4"/>
    </row>
    <row r="1005" spans="1:3" x14ac:dyDescent="0.25">
      <c r="A1005" s="3" t="s">
        <v>936</v>
      </c>
      <c r="B1005" s="3">
        <v>0</v>
      </c>
      <c r="C1005" s="4"/>
    </row>
    <row r="1006" spans="1:3" x14ac:dyDescent="0.25">
      <c r="A1006" s="3" t="s">
        <v>937</v>
      </c>
      <c r="B1006" s="3">
        <v>0</v>
      </c>
      <c r="C1006" s="4"/>
    </row>
    <row r="1007" spans="1:3" x14ac:dyDescent="0.25">
      <c r="A1007" s="3" t="s">
        <v>938</v>
      </c>
      <c r="B1007" s="3">
        <v>0</v>
      </c>
      <c r="C1007" s="4"/>
    </row>
    <row r="1008" spans="1:3" x14ac:dyDescent="0.25">
      <c r="A1008" s="3" t="s">
        <v>939</v>
      </c>
      <c r="B1008" s="3">
        <v>0</v>
      </c>
      <c r="C1008" s="4"/>
    </row>
    <row r="1009" spans="1:3" x14ac:dyDescent="0.25">
      <c r="A1009" s="3" t="s">
        <v>940</v>
      </c>
      <c r="B1009" s="3">
        <v>0</v>
      </c>
      <c r="C1009" s="4"/>
    </row>
    <row r="1010" spans="1:3" x14ac:dyDescent="0.25">
      <c r="A1010" s="3" t="s">
        <v>941</v>
      </c>
      <c r="B1010" s="3">
        <v>0</v>
      </c>
      <c r="C1010" s="4"/>
    </row>
    <row r="1011" spans="1:3" x14ac:dyDescent="0.25">
      <c r="A1011" s="3" t="s">
        <v>942</v>
      </c>
      <c r="B1011" s="3">
        <v>0</v>
      </c>
      <c r="C1011" s="4"/>
    </row>
    <row r="1012" spans="1:3" x14ac:dyDescent="0.25">
      <c r="A1012" s="3" t="s">
        <v>943</v>
      </c>
      <c r="B1012" s="3">
        <v>0</v>
      </c>
      <c r="C1012" s="4"/>
    </row>
    <row r="1013" spans="1:3" x14ac:dyDescent="0.25">
      <c r="A1013" s="3" t="s">
        <v>944</v>
      </c>
      <c r="B1013" s="3">
        <v>0</v>
      </c>
      <c r="C1013" s="4"/>
    </row>
    <row r="1014" spans="1:3" x14ac:dyDescent="0.25">
      <c r="B1014" s="3">
        <v>0</v>
      </c>
      <c r="C1014" s="2"/>
    </row>
    <row r="1015" spans="1:3" x14ac:dyDescent="0.25">
      <c r="B1015" s="3">
        <v>0</v>
      </c>
      <c r="C1015" s="2"/>
    </row>
    <row r="1016" spans="1:3" x14ac:dyDescent="0.25">
      <c r="A1016" s="3" t="s">
        <v>945</v>
      </c>
      <c r="B1016" s="3">
        <v>0</v>
      </c>
      <c r="C1016" s="4"/>
    </row>
    <row r="1017" spans="1:3" x14ac:dyDescent="0.25">
      <c r="A1017" s="3" t="s">
        <v>946</v>
      </c>
      <c r="B1017" s="3">
        <v>0</v>
      </c>
      <c r="C1017" s="4"/>
    </row>
    <row r="1018" spans="1:3" x14ac:dyDescent="0.25">
      <c r="B1018" s="3">
        <v>0</v>
      </c>
      <c r="C1018" s="2"/>
    </row>
    <row r="1019" spans="1:3" x14ac:dyDescent="0.25">
      <c r="A1019" s="3" t="s">
        <v>947</v>
      </c>
      <c r="B1019" s="3">
        <v>0</v>
      </c>
      <c r="C1019" s="4"/>
    </row>
    <row r="1020" spans="1:3" x14ac:dyDescent="0.25">
      <c r="A1020" s="3" t="s">
        <v>948</v>
      </c>
      <c r="B1020" s="3">
        <v>0</v>
      </c>
      <c r="C1020" s="4"/>
    </row>
    <row r="1021" spans="1:3" x14ac:dyDescent="0.25">
      <c r="A1021" s="3" t="s">
        <v>949</v>
      </c>
      <c r="B1021" s="3">
        <v>0</v>
      </c>
      <c r="C1021" s="4"/>
    </row>
    <row r="1022" spans="1:3" x14ac:dyDescent="0.25">
      <c r="A1022" s="3" t="s">
        <v>950</v>
      </c>
      <c r="B1022" s="3">
        <v>0</v>
      </c>
      <c r="C1022" s="4"/>
    </row>
    <row r="1023" spans="1:3" x14ac:dyDescent="0.25">
      <c r="A1023" s="3" t="s">
        <v>951</v>
      </c>
      <c r="B1023" s="3">
        <v>0</v>
      </c>
      <c r="C1023" s="4"/>
    </row>
    <row r="1024" spans="1:3" x14ac:dyDescent="0.25">
      <c r="A1024" s="3" t="s">
        <v>952</v>
      </c>
      <c r="B1024" s="3">
        <v>0</v>
      </c>
      <c r="C1024" s="4"/>
    </row>
    <row r="1025" spans="1:3" x14ac:dyDescent="0.25">
      <c r="A1025" s="3" t="s">
        <v>953</v>
      </c>
      <c r="B1025" s="3">
        <v>0</v>
      </c>
      <c r="C1025" s="4"/>
    </row>
    <row r="1026" spans="1:3" x14ac:dyDescent="0.25">
      <c r="A1026" s="3" t="s">
        <v>954</v>
      </c>
      <c r="B1026" s="3">
        <v>0</v>
      </c>
      <c r="C1026" s="4"/>
    </row>
    <row r="1027" spans="1:3" x14ac:dyDescent="0.25">
      <c r="A1027" s="3" t="s">
        <v>955</v>
      </c>
      <c r="B1027" s="3">
        <v>0</v>
      </c>
      <c r="C1027" s="4"/>
    </row>
    <row r="1028" spans="1:3" x14ac:dyDescent="0.25">
      <c r="A1028" s="3" t="s">
        <v>956</v>
      </c>
      <c r="B1028" s="3">
        <v>0</v>
      </c>
      <c r="C1028" s="4"/>
    </row>
    <row r="1029" spans="1:3" x14ac:dyDescent="0.25">
      <c r="A1029" s="3" t="s">
        <v>957</v>
      </c>
      <c r="B1029" s="3">
        <v>0</v>
      </c>
      <c r="C1029" s="4"/>
    </row>
    <row r="1030" spans="1:3" x14ac:dyDescent="0.25">
      <c r="A1030" s="3" t="s">
        <v>958</v>
      </c>
      <c r="B1030" s="3">
        <v>0</v>
      </c>
      <c r="C1030" s="4"/>
    </row>
    <row r="1031" spans="1:3" x14ac:dyDescent="0.25">
      <c r="A1031" s="3" t="s">
        <v>959</v>
      </c>
      <c r="B1031" s="3">
        <v>0</v>
      </c>
      <c r="C1031" s="4"/>
    </row>
    <row r="1032" spans="1:3" x14ac:dyDescent="0.25">
      <c r="B1032" s="3">
        <v>0</v>
      </c>
      <c r="C1032" s="2"/>
    </row>
    <row r="1033" spans="1:3" x14ac:dyDescent="0.25">
      <c r="A1033" s="3" t="s">
        <v>960</v>
      </c>
      <c r="B1033" s="3">
        <v>0</v>
      </c>
      <c r="C1033" s="4"/>
    </row>
    <row r="1034" spans="1:3" x14ac:dyDescent="0.25">
      <c r="A1034" s="3" t="s">
        <v>961</v>
      </c>
      <c r="B1034" s="3">
        <v>0</v>
      </c>
      <c r="C1034" s="4"/>
    </row>
    <row r="1035" spans="1:3" x14ac:dyDescent="0.25">
      <c r="A1035" s="3" t="s">
        <v>962</v>
      </c>
      <c r="B1035" s="3">
        <v>0</v>
      </c>
      <c r="C1035" s="4"/>
    </row>
    <row r="1036" spans="1:3" x14ac:dyDescent="0.25">
      <c r="A1036" s="3" t="s">
        <v>963</v>
      </c>
      <c r="B1036" s="3">
        <v>0</v>
      </c>
      <c r="C1036" s="4"/>
    </row>
    <row r="1037" spans="1:3" x14ac:dyDescent="0.25">
      <c r="A1037" s="3" t="s">
        <v>964</v>
      </c>
      <c r="B1037" s="3">
        <v>0</v>
      </c>
      <c r="C1037" s="4"/>
    </row>
    <row r="1038" spans="1:3" x14ac:dyDescent="0.25">
      <c r="A1038" s="3" t="s">
        <v>965</v>
      </c>
      <c r="B1038" s="3">
        <v>0</v>
      </c>
      <c r="C1038" s="4">
        <v>46</v>
      </c>
    </row>
    <row r="1039" spans="1:3" x14ac:dyDescent="0.25">
      <c r="A1039" s="3" t="s">
        <v>965</v>
      </c>
      <c r="B1039" s="3">
        <v>0</v>
      </c>
      <c r="C1039" s="4">
        <v>44</v>
      </c>
    </row>
    <row r="1040" spans="1:3" x14ac:dyDescent="0.25">
      <c r="B1040" s="3">
        <v>0</v>
      </c>
      <c r="C1040" s="2"/>
    </row>
    <row r="1041" spans="1:3" x14ac:dyDescent="0.25">
      <c r="A1041" s="3" t="s">
        <v>966</v>
      </c>
      <c r="B1041" s="3">
        <v>0</v>
      </c>
      <c r="C1041" s="4"/>
    </row>
    <row r="1042" spans="1:3" x14ac:dyDescent="0.25">
      <c r="A1042" s="3" t="s">
        <v>967</v>
      </c>
      <c r="B1042" s="3">
        <v>0</v>
      </c>
      <c r="C1042" s="4"/>
    </row>
    <row r="1043" spans="1:3" x14ac:dyDescent="0.25">
      <c r="A1043" s="3" t="s">
        <v>968</v>
      </c>
      <c r="B1043" s="3">
        <v>0</v>
      </c>
      <c r="C1043" s="4"/>
    </row>
    <row r="1044" spans="1:3" x14ac:dyDescent="0.25">
      <c r="A1044" s="3" t="s">
        <v>969</v>
      </c>
      <c r="B1044" s="3">
        <v>0</v>
      </c>
      <c r="C1044" s="4"/>
    </row>
    <row r="1045" spans="1:3" x14ac:dyDescent="0.25">
      <c r="A1045" s="3" t="s">
        <v>970</v>
      </c>
      <c r="B1045" s="3">
        <v>0</v>
      </c>
      <c r="C1045" s="4"/>
    </row>
    <row r="1046" spans="1:3" x14ac:dyDescent="0.25">
      <c r="A1046" s="3" t="s">
        <v>971</v>
      </c>
      <c r="B1046" s="3">
        <v>0</v>
      </c>
      <c r="C1046" s="4"/>
    </row>
    <row r="1047" spans="1:3" x14ac:dyDescent="0.25">
      <c r="A1047" s="3" t="s">
        <v>972</v>
      </c>
      <c r="B1047" s="3">
        <v>0</v>
      </c>
      <c r="C1047" s="4"/>
    </row>
    <row r="1048" spans="1:3" x14ac:dyDescent="0.25">
      <c r="A1048" s="3" t="s">
        <v>973</v>
      </c>
      <c r="B1048" s="3">
        <v>0</v>
      </c>
      <c r="C1048" s="4"/>
    </row>
    <row r="1049" spans="1:3" x14ac:dyDescent="0.25">
      <c r="A1049" s="3" t="s">
        <v>974</v>
      </c>
      <c r="B1049" s="3">
        <v>0</v>
      </c>
      <c r="C1049" s="4"/>
    </row>
    <row r="1050" spans="1:3" x14ac:dyDescent="0.25">
      <c r="B1050" s="3">
        <v>0</v>
      </c>
      <c r="C1050" s="2"/>
    </row>
    <row r="1051" spans="1:3" x14ac:dyDescent="0.25">
      <c r="A1051" s="3" t="s">
        <v>975</v>
      </c>
      <c r="B1051" s="3">
        <v>0</v>
      </c>
      <c r="C1051" s="4"/>
    </row>
    <row r="1052" spans="1:3" x14ac:dyDescent="0.25">
      <c r="A1052" s="3" t="s">
        <v>976</v>
      </c>
      <c r="B1052" s="3">
        <v>0</v>
      </c>
      <c r="C1052" s="4"/>
    </row>
    <row r="1053" spans="1:3" x14ac:dyDescent="0.25">
      <c r="A1053" s="3" t="s">
        <v>977</v>
      </c>
      <c r="B1053" s="3">
        <v>0</v>
      </c>
      <c r="C1053" s="4"/>
    </row>
    <row r="1054" spans="1:3" x14ac:dyDescent="0.25">
      <c r="A1054" s="3" t="s">
        <v>978</v>
      </c>
      <c r="B1054" s="3">
        <v>0</v>
      </c>
      <c r="C1054" s="4"/>
    </row>
    <row r="1055" spans="1:3" x14ac:dyDescent="0.25">
      <c r="B1055" s="3">
        <v>0</v>
      </c>
      <c r="C1055" s="2"/>
    </row>
    <row r="1056" spans="1:3" x14ac:dyDescent="0.25">
      <c r="A1056" s="3" t="s">
        <v>979</v>
      </c>
      <c r="B1056" s="3">
        <v>0</v>
      </c>
      <c r="C1056" s="4"/>
    </row>
    <row r="1057" spans="1:3" x14ac:dyDescent="0.25">
      <c r="A1057" s="3" t="s">
        <v>980</v>
      </c>
      <c r="B1057" s="3">
        <v>0</v>
      </c>
      <c r="C1057" s="4"/>
    </row>
    <row r="1058" spans="1:3" x14ac:dyDescent="0.25">
      <c r="A1058" s="3" t="s">
        <v>981</v>
      </c>
      <c r="B1058" s="3">
        <v>0</v>
      </c>
      <c r="C1058" s="4"/>
    </row>
    <row r="1059" spans="1:3" x14ac:dyDescent="0.25">
      <c r="B1059" s="3">
        <v>0</v>
      </c>
      <c r="C1059" s="2"/>
    </row>
    <row r="1060" spans="1:3" x14ac:dyDescent="0.25">
      <c r="A1060" s="3" t="s">
        <v>982</v>
      </c>
      <c r="B1060" s="3">
        <v>0</v>
      </c>
      <c r="C1060" s="4"/>
    </row>
    <row r="1061" spans="1:3" x14ac:dyDescent="0.25">
      <c r="A1061" s="3" t="s">
        <v>983</v>
      </c>
      <c r="B1061" s="3">
        <v>0</v>
      </c>
      <c r="C1061" s="4"/>
    </row>
    <row r="1062" spans="1:3" x14ac:dyDescent="0.25">
      <c r="A1062" s="3" t="s">
        <v>984</v>
      </c>
      <c r="B1062" s="3">
        <v>0</v>
      </c>
      <c r="C1062" s="4"/>
    </row>
    <row r="1063" spans="1:3" x14ac:dyDescent="0.25">
      <c r="A1063" s="3" t="s">
        <v>985</v>
      </c>
      <c r="B1063" s="3">
        <v>0</v>
      </c>
      <c r="C1063" s="4"/>
    </row>
    <row r="1064" spans="1:3" x14ac:dyDescent="0.25">
      <c r="A1064" s="3" t="s">
        <v>986</v>
      </c>
      <c r="B1064" s="3">
        <v>0</v>
      </c>
      <c r="C1064" s="4"/>
    </row>
    <row r="1065" spans="1:3" x14ac:dyDescent="0.25">
      <c r="A1065" s="3" t="s">
        <v>987</v>
      </c>
      <c r="B1065" s="3">
        <v>0</v>
      </c>
      <c r="C1065" s="4"/>
    </row>
    <row r="1066" spans="1:3" x14ac:dyDescent="0.25">
      <c r="A1066" s="3" t="s">
        <v>988</v>
      </c>
      <c r="B1066" s="3">
        <v>0</v>
      </c>
      <c r="C1066" s="4"/>
    </row>
    <row r="1067" spans="1:3" x14ac:dyDescent="0.25">
      <c r="A1067" s="3" t="s">
        <v>989</v>
      </c>
      <c r="B1067" s="3">
        <v>0</v>
      </c>
      <c r="C1067" s="4"/>
    </row>
    <row r="1068" spans="1:3" x14ac:dyDescent="0.25">
      <c r="A1068" s="3" t="s">
        <v>990</v>
      </c>
      <c r="B1068" s="3">
        <v>0</v>
      </c>
      <c r="C1068" s="4"/>
    </row>
    <row r="1069" spans="1:3" x14ac:dyDescent="0.25">
      <c r="A1069" s="3" t="s">
        <v>991</v>
      </c>
      <c r="B1069" s="3">
        <v>0</v>
      </c>
      <c r="C1069" s="4"/>
    </row>
    <row r="1070" spans="1:3" x14ac:dyDescent="0.25">
      <c r="A1070" s="3" t="s">
        <v>992</v>
      </c>
      <c r="B1070" s="3">
        <v>0</v>
      </c>
      <c r="C1070" s="4"/>
    </row>
    <row r="1071" spans="1:3" x14ac:dyDescent="0.25">
      <c r="A1071" s="3" t="s">
        <v>993</v>
      </c>
      <c r="B1071" s="3">
        <v>0</v>
      </c>
      <c r="C1071" s="4"/>
    </row>
    <row r="1072" spans="1:3" x14ac:dyDescent="0.25">
      <c r="B1072" s="3">
        <v>0</v>
      </c>
      <c r="C1072" s="2"/>
    </row>
    <row r="1073" spans="1:3" x14ac:dyDescent="0.25">
      <c r="B1073" s="3">
        <v>0</v>
      </c>
      <c r="C1073" s="2"/>
    </row>
    <row r="1074" spans="1:3" x14ac:dyDescent="0.25">
      <c r="A1074" s="3" t="s">
        <v>994</v>
      </c>
      <c r="B1074" s="3">
        <v>0</v>
      </c>
      <c r="C1074" s="4"/>
    </row>
    <row r="1075" spans="1:3" x14ac:dyDescent="0.25">
      <c r="A1075" s="3" t="s">
        <v>995</v>
      </c>
      <c r="B1075" s="3">
        <v>0</v>
      </c>
      <c r="C1075" s="4"/>
    </row>
    <row r="1076" spans="1:3" x14ac:dyDescent="0.25">
      <c r="A1076" s="3" t="s">
        <v>996</v>
      </c>
      <c r="B1076" s="3">
        <v>0</v>
      </c>
      <c r="C1076" s="4"/>
    </row>
    <row r="1077" spans="1:3" x14ac:dyDescent="0.25">
      <c r="A1077" s="3" t="s">
        <v>997</v>
      </c>
      <c r="B1077" s="3">
        <v>0</v>
      </c>
      <c r="C1077" s="4"/>
    </row>
    <row r="1078" spans="1:3" x14ac:dyDescent="0.25">
      <c r="A1078" s="3" t="s">
        <v>998</v>
      </c>
      <c r="B1078" s="3">
        <v>0</v>
      </c>
      <c r="C1078" s="4"/>
    </row>
    <row r="1079" spans="1:3" x14ac:dyDescent="0.25">
      <c r="A1079" s="3" t="s">
        <v>999</v>
      </c>
      <c r="B1079" s="3">
        <v>0</v>
      </c>
      <c r="C1079" s="4"/>
    </row>
    <row r="1080" spans="1:3" x14ac:dyDescent="0.25">
      <c r="A1080" s="3" t="s">
        <v>1000</v>
      </c>
      <c r="B1080" s="3">
        <v>0</v>
      </c>
      <c r="C1080" s="4"/>
    </row>
    <row r="1081" spans="1:3" x14ac:dyDescent="0.25">
      <c r="A1081" s="3" t="s">
        <v>1001</v>
      </c>
      <c r="B1081" s="3">
        <v>0</v>
      </c>
      <c r="C1081" s="4"/>
    </row>
    <row r="1082" spans="1:3" x14ac:dyDescent="0.25">
      <c r="A1082" s="3" t="s">
        <v>1002</v>
      </c>
      <c r="B1082" s="3">
        <v>0</v>
      </c>
      <c r="C1082" s="4"/>
    </row>
    <row r="1083" spans="1:3" x14ac:dyDescent="0.25">
      <c r="A1083" s="3" t="s">
        <v>1003</v>
      </c>
      <c r="B1083" s="3">
        <v>0</v>
      </c>
      <c r="C1083" s="4"/>
    </row>
    <row r="1084" spans="1:3" x14ac:dyDescent="0.25">
      <c r="A1084" s="3" t="s">
        <v>1004</v>
      </c>
      <c r="B1084" s="3">
        <v>0</v>
      </c>
      <c r="C1084" s="4"/>
    </row>
    <row r="1085" spans="1:3" x14ac:dyDescent="0.25">
      <c r="B1085" s="3">
        <v>0</v>
      </c>
      <c r="C1085" s="2"/>
    </row>
    <row r="1086" spans="1:3" x14ac:dyDescent="0.25">
      <c r="A1086" s="3" t="s">
        <v>1005</v>
      </c>
      <c r="B1086" s="3">
        <v>0</v>
      </c>
      <c r="C1086" s="4"/>
    </row>
    <row r="1087" spans="1:3" x14ac:dyDescent="0.25">
      <c r="A1087" s="3" t="s">
        <v>1006</v>
      </c>
      <c r="B1087" s="3">
        <v>0</v>
      </c>
      <c r="C1087" s="4"/>
    </row>
    <row r="1088" spans="1:3" x14ac:dyDescent="0.25">
      <c r="B1088" s="3">
        <v>0</v>
      </c>
      <c r="C1088" s="2"/>
    </row>
    <row r="1089" spans="1:3" x14ac:dyDescent="0.25">
      <c r="A1089" s="3" t="s">
        <v>1007</v>
      </c>
      <c r="B1089" s="3">
        <v>0</v>
      </c>
      <c r="C1089" s="4"/>
    </row>
    <row r="1090" spans="1:3" x14ac:dyDescent="0.25">
      <c r="A1090" s="3" t="s">
        <v>803</v>
      </c>
      <c r="B1090" s="3">
        <v>0</v>
      </c>
      <c r="C1090" s="4"/>
    </row>
    <row r="1091" spans="1:3" x14ac:dyDescent="0.25">
      <c r="A1091" s="3" t="s">
        <v>1008</v>
      </c>
      <c r="B1091" s="3">
        <v>0</v>
      </c>
      <c r="C1091" s="4"/>
    </row>
    <row r="1092" spans="1:3" x14ac:dyDescent="0.25">
      <c r="A1092" s="3" t="s">
        <v>1009</v>
      </c>
      <c r="B1092" s="3">
        <v>0</v>
      </c>
      <c r="C1092" s="4"/>
    </row>
    <row r="1093" spans="1:3" x14ac:dyDescent="0.25">
      <c r="A1093" s="3" t="s">
        <v>1010</v>
      </c>
      <c r="B1093" s="3">
        <v>0</v>
      </c>
      <c r="C1093" s="4"/>
    </row>
    <row r="1094" spans="1:3" x14ac:dyDescent="0.25">
      <c r="A1094" s="3" t="s">
        <v>1011</v>
      </c>
      <c r="B1094" s="3">
        <v>0</v>
      </c>
      <c r="C1094" s="4"/>
    </row>
    <row r="1095" spans="1:3" x14ac:dyDescent="0.25">
      <c r="B1095" s="3">
        <v>0</v>
      </c>
      <c r="C1095" s="2"/>
    </row>
    <row r="1096" spans="1:3" x14ac:dyDescent="0.25">
      <c r="A1096" s="3" t="s">
        <v>1012</v>
      </c>
      <c r="B1096" s="3">
        <v>0</v>
      </c>
      <c r="C1096" s="4"/>
    </row>
    <row r="1097" spans="1:3" x14ac:dyDescent="0.25">
      <c r="A1097" s="3" t="s">
        <v>1013</v>
      </c>
      <c r="B1097" s="3">
        <v>0</v>
      </c>
      <c r="C1097" s="4"/>
    </row>
    <row r="1098" spans="1:3" x14ac:dyDescent="0.25">
      <c r="A1098" s="3" t="s">
        <v>1014</v>
      </c>
      <c r="B1098" s="3">
        <v>0</v>
      </c>
      <c r="C1098" s="4"/>
    </row>
    <row r="1099" spans="1:3" x14ac:dyDescent="0.25">
      <c r="A1099" s="3" t="s">
        <v>1015</v>
      </c>
      <c r="B1099" s="3">
        <v>0</v>
      </c>
      <c r="C1099" s="4"/>
    </row>
    <row r="1100" spans="1:3" x14ac:dyDescent="0.25">
      <c r="A1100" s="3" t="s">
        <v>1016</v>
      </c>
      <c r="B1100" s="3">
        <v>0</v>
      </c>
      <c r="C1100" s="4"/>
    </row>
    <row r="1101" spans="1:3" x14ac:dyDescent="0.25">
      <c r="A1101" s="3" t="s">
        <v>1017</v>
      </c>
      <c r="B1101" s="3">
        <v>0</v>
      </c>
      <c r="C1101" s="4"/>
    </row>
    <row r="1102" spans="1:3" x14ac:dyDescent="0.25">
      <c r="A1102" s="3" t="s">
        <v>1018</v>
      </c>
      <c r="B1102" s="3">
        <v>0</v>
      </c>
      <c r="C1102" s="4"/>
    </row>
    <row r="1103" spans="1:3" x14ac:dyDescent="0.25">
      <c r="A1103" s="3" t="s">
        <v>1019</v>
      </c>
      <c r="B1103" s="3">
        <v>0</v>
      </c>
      <c r="C1103" s="4"/>
    </row>
    <row r="1104" spans="1:3" x14ac:dyDescent="0.25">
      <c r="A1104" s="3" t="s">
        <v>1020</v>
      </c>
      <c r="B1104" s="3">
        <v>0</v>
      </c>
      <c r="C1104" s="4"/>
    </row>
    <row r="1105" spans="1:3" x14ac:dyDescent="0.25">
      <c r="A1105" s="3" t="s">
        <v>1021</v>
      </c>
      <c r="B1105" s="3">
        <v>0</v>
      </c>
      <c r="C1105" s="4"/>
    </row>
    <row r="1106" spans="1:3" x14ac:dyDescent="0.25">
      <c r="A1106" s="3" t="s">
        <v>1022</v>
      </c>
      <c r="B1106" s="3">
        <v>0</v>
      </c>
      <c r="C1106" s="4"/>
    </row>
    <row r="1107" spans="1:3" x14ac:dyDescent="0.25">
      <c r="A1107" s="3" t="s">
        <v>1023</v>
      </c>
      <c r="B1107" s="3">
        <v>0</v>
      </c>
      <c r="C1107" s="4"/>
    </row>
    <row r="1108" spans="1:3" x14ac:dyDescent="0.25">
      <c r="A1108" s="3" t="s">
        <v>1024</v>
      </c>
      <c r="B1108" s="3">
        <v>0</v>
      </c>
      <c r="C1108" s="4"/>
    </row>
    <row r="1109" spans="1:3" x14ac:dyDescent="0.25">
      <c r="A1109" s="3" t="s">
        <v>1025</v>
      </c>
      <c r="B1109" s="3">
        <v>0</v>
      </c>
      <c r="C1109" s="4"/>
    </row>
    <row r="1110" spans="1:3" x14ac:dyDescent="0.25">
      <c r="A1110" s="3" t="s">
        <v>1026</v>
      </c>
      <c r="B1110" s="3">
        <v>0</v>
      </c>
      <c r="C1110" s="4"/>
    </row>
    <row r="1111" spans="1:3" x14ac:dyDescent="0.25">
      <c r="A1111" s="3" t="s">
        <v>1027</v>
      </c>
      <c r="B1111" s="3">
        <v>0</v>
      </c>
      <c r="C1111" s="4"/>
    </row>
    <row r="1112" spans="1:3" x14ac:dyDescent="0.25">
      <c r="A1112" s="3" t="s">
        <v>1028</v>
      </c>
      <c r="B1112" s="3">
        <v>0</v>
      </c>
      <c r="C1112" s="4"/>
    </row>
    <row r="1113" spans="1:3" x14ac:dyDescent="0.25">
      <c r="A1113" s="3" t="s">
        <v>1029</v>
      </c>
      <c r="B1113" s="3">
        <v>0</v>
      </c>
      <c r="C1113" s="4"/>
    </row>
    <row r="1114" spans="1:3" x14ac:dyDescent="0.25">
      <c r="A1114" s="3" t="s">
        <v>1030</v>
      </c>
      <c r="B1114" s="3">
        <v>0</v>
      </c>
      <c r="C1114" s="4"/>
    </row>
    <row r="1115" spans="1:3" x14ac:dyDescent="0.25">
      <c r="A1115" s="3" t="s">
        <v>1031</v>
      </c>
      <c r="B1115" s="3">
        <v>0</v>
      </c>
      <c r="C1115" s="4"/>
    </row>
    <row r="1116" spans="1:3" x14ac:dyDescent="0.25">
      <c r="A1116" s="3" t="s">
        <v>1032</v>
      </c>
      <c r="B1116" s="3">
        <v>0</v>
      </c>
      <c r="C1116" s="4"/>
    </row>
    <row r="1117" spans="1:3" x14ac:dyDescent="0.25">
      <c r="A1117" s="3" t="s">
        <v>1033</v>
      </c>
      <c r="B1117" s="3">
        <v>0</v>
      </c>
      <c r="C1117" s="4"/>
    </row>
    <row r="1118" spans="1:3" x14ac:dyDescent="0.25">
      <c r="B1118" s="3">
        <v>0</v>
      </c>
      <c r="C1118" s="2"/>
    </row>
    <row r="1119" spans="1:3" x14ac:dyDescent="0.25">
      <c r="A1119" s="3" t="s">
        <v>1034</v>
      </c>
      <c r="B1119" s="3">
        <v>0</v>
      </c>
      <c r="C1119" s="4"/>
    </row>
    <row r="1120" spans="1:3" x14ac:dyDescent="0.25">
      <c r="A1120" s="3" t="s">
        <v>1035</v>
      </c>
      <c r="B1120" s="3">
        <v>0</v>
      </c>
      <c r="C1120" s="4"/>
    </row>
    <row r="1121" spans="1:3" x14ac:dyDescent="0.25">
      <c r="A1121" s="3" t="s">
        <v>1036</v>
      </c>
      <c r="B1121" s="3">
        <v>0</v>
      </c>
      <c r="C1121" s="4"/>
    </row>
    <row r="1122" spans="1:3" x14ac:dyDescent="0.25">
      <c r="A1122" s="3" t="s">
        <v>1037</v>
      </c>
      <c r="B1122" s="3">
        <v>0</v>
      </c>
      <c r="C1122" s="4"/>
    </row>
    <row r="1123" spans="1:3" x14ac:dyDescent="0.25">
      <c r="A1123" s="3" t="s">
        <v>1038</v>
      </c>
      <c r="B1123" s="3">
        <v>0</v>
      </c>
      <c r="C1123" s="4"/>
    </row>
    <row r="1124" spans="1:3" x14ac:dyDescent="0.25">
      <c r="A1124" s="3" t="s">
        <v>1039</v>
      </c>
      <c r="B1124" s="3">
        <v>0</v>
      </c>
      <c r="C1124" s="4"/>
    </row>
    <row r="1125" spans="1:3" x14ac:dyDescent="0.25">
      <c r="A1125" s="3" t="s">
        <v>1040</v>
      </c>
      <c r="B1125" s="3">
        <v>0</v>
      </c>
      <c r="C1125" s="4"/>
    </row>
    <row r="1126" spans="1:3" x14ac:dyDescent="0.25">
      <c r="A1126" s="3" t="s">
        <v>932</v>
      </c>
      <c r="B1126" s="3">
        <v>0</v>
      </c>
      <c r="C1126" s="4" t="s">
        <v>28</v>
      </c>
    </row>
    <row r="1127" spans="1:3" x14ac:dyDescent="0.25">
      <c r="A1127" s="3" t="s">
        <v>1041</v>
      </c>
      <c r="B1127" s="3">
        <v>0</v>
      </c>
      <c r="C1127" s="4" t="s">
        <v>27</v>
      </c>
    </row>
    <row r="1128" spans="1:3" x14ac:dyDescent="0.25">
      <c r="A1128" s="3" t="s">
        <v>1042</v>
      </c>
      <c r="B1128" s="3">
        <v>0</v>
      </c>
      <c r="C1128" s="4"/>
    </row>
    <row r="1129" spans="1:3" x14ac:dyDescent="0.25">
      <c r="A1129" s="3" t="s">
        <v>1043</v>
      </c>
      <c r="B1129" s="3">
        <v>0</v>
      </c>
      <c r="C1129" s="4"/>
    </row>
    <row r="1130" spans="1:3" x14ac:dyDescent="0.25">
      <c r="A1130" s="3" t="s">
        <v>1044</v>
      </c>
      <c r="B1130" s="3">
        <v>0</v>
      </c>
      <c r="C1130" s="4"/>
    </row>
    <row r="1131" spans="1:3" x14ac:dyDescent="0.25">
      <c r="A1131" s="3" t="s">
        <v>1045</v>
      </c>
      <c r="B1131" s="3">
        <v>0</v>
      </c>
      <c r="C1131" s="4"/>
    </row>
    <row r="1132" spans="1:3" x14ac:dyDescent="0.25">
      <c r="A1132" s="3" t="s">
        <v>1046</v>
      </c>
      <c r="B1132" s="3">
        <v>0</v>
      </c>
      <c r="C1132" s="4"/>
    </row>
    <row r="1133" spans="1:3" x14ac:dyDescent="0.25">
      <c r="A1133" s="3" t="s">
        <v>1047</v>
      </c>
      <c r="B1133" s="3">
        <v>0</v>
      </c>
      <c r="C1133" s="4"/>
    </row>
    <row r="1134" spans="1:3" x14ac:dyDescent="0.25">
      <c r="A1134" s="3" t="s">
        <v>1048</v>
      </c>
      <c r="B1134" s="3">
        <v>0</v>
      </c>
      <c r="C1134" s="4"/>
    </row>
    <row r="1135" spans="1:3" x14ac:dyDescent="0.25">
      <c r="B1135" s="3">
        <v>0</v>
      </c>
      <c r="C1135" s="2"/>
    </row>
    <row r="1136" spans="1:3" x14ac:dyDescent="0.25">
      <c r="A1136" s="3" t="s">
        <v>1049</v>
      </c>
      <c r="B1136" s="3">
        <v>0</v>
      </c>
      <c r="C1136" s="4"/>
    </row>
    <row r="1137" spans="1:3" x14ac:dyDescent="0.25">
      <c r="A1137" s="3" t="s">
        <v>932</v>
      </c>
      <c r="B1137" s="3">
        <v>0</v>
      </c>
      <c r="C1137" s="4" t="s">
        <v>27</v>
      </c>
    </row>
    <row r="1138" spans="1:3" x14ac:dyDescent="0.25">
      <c r="A1138" s="3" t="s">
        <v>932</v>
      </c>
      <c r="B1138" s="3">
        <v>0</v>
      </c>
      <c r="C1138" s="4" t="s">
        <v>135</v>
      </c>
    </row>
    <row r="1139" spans="1:3" x14ac:dyDescent="0.25">
      <c r="A1139" s="3" t="s">
        <v>1050</v>
      </c>
      <c r="B1139" s="3">
        <v>0</v>
      </c>
      <c r="C1139" s="4"/>
    </row>
    <row r="1140" spans="1:3" x14ac:dyDescent="0.25">
      <c r="B1140" s="3">
        <v>0</v>
      </c>
      <c r="C1140" s="2"/>
    </row>
    <row r="1141" spans="1:3" x14ac:dyDescent="0.25">
      <c r="A1141" s="3" t="s">
        <v>1051</v>
      </c>
      <c r="B1141" s="3">
        <v>0</v>
      </c>
      <c r="C1141" s="4"/>
    </row>
    <row r="1142" spans="1:3" x14ac:dyDescent="0.25">
      <c r="A1142" s="3" t="s">
        <v>1052</v>
      </c>
      <c r="B1142" s="3">
        <v>0</v>
      </c>
      <c r="C1142" s="4"/>
    </row>
    <row r="1143" spans="1:3" x14ac:dyDescent="0.25">
      <c r="A1143" s="3" t="s">
        <v>1053</v>
      </c>
      <c r="B1143" s="3">
        <v>0</v>
      </c>
      <c r="C1143" s="4"/>
    </row>
    <row r="1144" spans="1:3" x14ac:dyDescent="0.25">
      <c r="A1144" s="3" t="s">
        <v>1054</v>
      </c>
      <c r="B1144" s="3">
        <v>0</v>
      </c>
      <c r="C1144" s="4"/>
    </row>
    <row r="1145" spans="1:3" x14ac:dyDescent="0.25">
      <c r="A1145" s="3" t="s">
        <v>1055</v>
      </c>
      <c r="B1145" s="3">
        <v>0</v>
      </c>
      <c r="C1145" s="4"/>
    </row>
    <row r="1146" spans="1:3" x14ac:dyDescent="0.25">
      <c r="A1146" s="3" t="s">
        <v>1056</v>
      </c>
      <c r="B1146" s="3">
        <v>0</v>
      </c>
      <c r="C1146" s="4"/>
    </row>
    <row r="1147" spans="1:3" x14ac:dyDescent="0.25">
      <c r="A1147" s="3" t="s">
        <v>1057</v>
      </c>
      <c r="B1147" s="3">
        <v>0</v>
      </c>
      <c r="C1147" s="4"/>
    </row>
    <row r="1148" spans="1:3" x14ac:dyDescent="0.25">
      <c r="A1148" s="3" t="s">
        <v>1058</v>
      </c>
      <c r="B1148" s="3">
        <v>0</v>
      </c>
      <c r="C1148" s="4"/>
    </row>
    <row r="1149" spans="1:3" x14ac:dyDescent="0.25">
      <c r="A1149" s="3" t="s">
        <v>1059</v>
      </c>
      <c r="B1149" s="3">
        <v>0</v>
      </c>
      <c r="C1149" s="4"/>
    </row>
    <row r="1150" spans="1:3" x14ac:dyDescent="0.25">
      <c r="A1150" s="3" t="s">
        <v>1060</v>
      </c>
      <c r="B1150" s="3">
        <v>0</v>
      </c>
      <c r="C1150" s="4"/>
    </row>
    <row r="1151" spans="1:3" x14ac:dyDescent="0.25">
      <c r="A1151" s="3" t="s">
        <v>1061</v>
      </c>
      <c r="B1151" s="3">
        <v>0</v>
      </c>
      <c r="C1151" s="4"/>
    </row>
    <row r="1152" spans="1:3" x14ac:dyDescent="0.25">
      <c r="B1152" s="3">
        <v>0</v>
      </c>
      <c r="C1152" s="2"/>
    </row>
    <row r="1153" spans="1:3" x14ac:dyDescent="0.25">
      <c r="A1153" s="3" t="s">
        <v>1062</v>
      </c>
      <c r="B1153" s="3">
        <v>0</v>
      </c>
      <c r="C1153" s="4"/>
    </row>
    <row r="1154" spans="1:3" x14ac:dyDescent="0.25">
      <c r="A1154" s="3" t="s">
        <v>1063</v>
      </c>
      <c r="B1154" s="3">
        <v>0</v>
      </c>
      <c r="C1154" s="4"/>
    </row>
    <row r="1155" spans="1:3" x14ac:dyDescent="0.25">
      <c r="B1155" s="3">
        <v>0</v>
      </c>
      <c r="C1155" s="2"/>
    </row>
    <row r="1156" spans="1:3" x14ac:dyDescent="0.25">
      <c r="A1156" s="3" t="s">
        <v>1064</v>
      </c>
      <c r="B1156" s="3">
        <v>0</v>
      </c>
      <c r="C1156" s="4"/>
    </row>
    <row r="1157" spans="1:3" x14ac:dyDescent="0.25">
      <c r="A1157" s="3" t="s">
        <v>1065</v>
      </c>
      <c r="B1157" s="3">
        <v>0</v>
      </c>
      <c r="C1157" s="4"/>
    </row>
    <row r="1158" spans="1:3" x14ac:dyDescent="0.25">
      <c r="A1158" s="3" t="s">
        <v>1066</v>
      </c>
      <c r="B1158" s="3">
        <v>0</v>
      </c>
      <c r="C1158" s="4"/>
    </row>
    <row r="1159" spans="1:3" x14ac:dyDescent="0.25">
      <c r="A1159" s="3" t="s">
        <v>1067</v>
      </c>
      <c r="B1159" s="3">
        <v>0</v>
      </c>
      <c r="C1159" s="4"/>
    </row>
    <row r="1160" spans="1:3" x14ac:dyDescent="0.25">
      <c r="A1160" s="3" t="s">
        <v>1068</v>
      </c>
      <c r="B1160" s="3">
        <v>0</v>
      </c>
      <c r="C1160" s="4"/>
    </row>
    <row r="1161" spans="1:3" x14ac:dyDescent="0.25">
      <c r="A1161" s="3" t="s">
        <v>1069</v>
      </c>
      <c r="B1161" s="3">
        <v>0</v>
      </c>
      <c r="C1161" s="4"/>
    </row>
    <row r="1162" spans="1:3" x14ac:dyDescent="0.25">
      <c r="A1162" s="3" t="s">
        <v>1070</v>
      </c>
      <c r="B1162" s="3">
        <v>0</v>
      </c>
      <c r="C1162" s="4"/>
    </row>
    <row r="1163" spans="1:3" x14ac:dyDescent="0.25">
      <c r="A1163" s="3" t="s">
        <v>1071</v>
      </c>
      <c r="B1163" s="3">
        <v>0</v>
      </c>
      <c r="C1163" s="4"/>
    </row>
    <row r="1164" spans="1:3" x14ac:dyDescent="0.25">
      <c r="A1164" s="3" t="s">
        <v>1072</v>
      </c>
      <c r="B1164" s="3">
        <v>0</v>
      </c>
      <c r="C1164" s="4"/>
    </row>
    <row r="1165" spans="1:3" x14ac:dyDescent="0.25">
      <c r="A1165" s="3" t="s">
        <v>1073</v>
      </c>
      <c r="B1165" s="3">
        <v>0</v>
      </c>
      <c r="C1165" s="4"/>
    </row>
    <row r="1166" spans="1:3" x14ac:dyDescent="0.25">
      <c r="A1166" s="3" t="s">
        <v>932</v>
      </c>
      <c r="B1166" s="3">
        <v>0</v>
      </c>
      <c r="C1166" s="4" t="s">
        <v>71</v>
      </c>
    </row>
    <row r="1167" spans="1:3" x14ac:dyDescent="0.25">
      <c r="B1167" s="3">
        <v>0</v>
      </c>
      <c r="C1167" s="2"/>
    </row>
    <row r="1168" spans="1:3" x14ac:dyDescent="0.25">
      <c r="A1168" s="3" t="s">
        <v>1074</v>
      </c>
      <c r="B1168" s="3">
        <v>0</v>
      </c>
      <c r="C1168" s="4"/>
    </row>
    <row r="1169" spans="1:3" x14ac:dyDescent="0.25">
      <c r="A1169" s="3" t="s">
        <v>1075</v>
      </c>
      <c r="B1169" s="3">
        <v>0</v>
      </c>
      <c r="C1169" s="4"/>
    </row>
    <row r="1170" spans="1:3" x14ac:dyDescent="0.25">
      <c r="A1170" s="3" t="s">
        <v>1076</v>
      </c>
      <c r="B1170" s="3">
        <v>0</v>
      </c>
      <c r="C1170" s="4"/>
    </row>
    <row r="1171" spans="1:3" x14ac:dyDescent="0.25">
      <c r="A1171" s="3" t="s">
        <v>1077</v>
      </c>
      <c r="B1171" s="3">
        <v>0</v>
      </c>
      <c r="C1171" s="4"/>
    </row>
    <row r="1172" spans="1:3" x14ac:dyDescent="0.25">
      <c r="A1172" s="3" t="s">
        <v>1078</v>
      </c>
      <c r="B1172" s="3">
        <v>0</v>
      </c>
      <c r="C1172" s="4"/>
    </row>
    <row r="1173" spans="1:3" x14ac:dyDescent="0.25">
      <c r="A1173" s="3" t="s">
        <v>1079</v>
      </c>
      <c r="B1173" s="3">
        <v>0</v>
      </c>
      <c r="C1173" s="4"/>
    </row>
    <row r="1174" spans="1:3" x14ac:dyDescent="0.25">
      <c r="A1174" s="3" t="s">
        <v>1080</v>
      </c>
      <c r="B1174" s="3">
        <v>0</v>
      </c>
      <c r="C1174" s="4"/>
    </row>
    <row r="1175" spans="1:3" x14ac:dyDescent="0.25">
      <c r="A1175" s="3" t="s">
        <v>1081</v>
      </c>
      <c r="B1175" s="3">
        <v>0</v>
      </c>
      <c r="C1175" s="4"/>
    </row>
    <row r="1176" spans="1:3" x14ac:dyDescent="0.25">
      <c r="A1176" s="3" t="s">
        <v>1082</v>
      </c>
      <c r="B1176" s="3">
        <v>0</v>
      </c>
      <c r="C1176" s="4"/>
    </row>
    <row r="1177" spans="1:3" x14ac:dyDescent="0.25">
      <c r="A1177" s="3" t="s">
        <v>1083</v>
      </c>
      <c r="B1177" s="3">
        <v>0</v>
      </c>
      <c r="C1177" s="4"/>
    </row>
    <row r="1178" spans="1:3" x14ac:dyDescent="0.25">
      <c r="A1178" s="3" t="s">
        <v>1084</v>
      </c>
      <c r="B1178" s="3">
        <v>0</v>
      </c>
      <c r="C1178" s="4"/>
    </row>
    <row r="1179" spans="1:3" x14ac:dyDescent="0.25">
      <c r="A1179" s="3" t="s">
        <v>1085</v>
      </c>
      <c r="B1179" s="3">
        <v>0</v>
      </c>
      <c r="C1179" s="4"/>
    </row>
    <row r="1180" spans="1:3" x14ac:dyDescent="0.25">
      <c r="A1180" s="3" t="s">
        <v>1041</v>
      </c>
      <c r="B1180" s="3">
        <v>0</v>
      </c>
      <c r="C1180" s="4"/>
    </row>
    <row r="1181" spans="1:3" x14ac:dyDescent="0.25">
      <c r="A1181" s="3" t="s">
        <v>1086</v>
      </c>
      <c r="B1181" s="3">
        <v>0</v>
      </c>
      <c r="C1181" s="4"/>
    </row>
    <row r="1182" spans="1:3" x14ac:dyDescent="0.25">
      <c r="A1182" s="3" t="s">
        <v>1087</v>
      </c>
      <c r="B1182" s="3">
        <v>0</v>
      </c>
      <c r="C1182" s="4"/>
    </row>
    <row r="1183" spans="1:3" x14ac:dyDescent="0.25">
      <c r="A1183" s="3" t="s">
        <v>1088</v>
      </c>
      <c r="B1183" s="3">
        <v>0</v>
      </c>
      <c r="C1183" s="4"/>
    </row>
    <row r="1184" spans="1:3" x14ac:dyDescent="0.25">
      <c r="A1184" s="3" t="s">
        <v>1089</v>
      </c>
      <c r="B1184" s="3">
        <v>0</v>
      </c>
      <c r="C1184" s="4"/>
    </row>
    <row r="1185" spans="1:3" x14ac:dyDescent="0.25">
      <c r="A1185" s="3" t="s">
        <v>1090</v>
      </c>
      <c r="B1185" s="3">
        <v>0</v>
      </c>
      <c r="C1185" s="4"/>
    </row>
    <row r="1186" spans="1:3" x14ac:dyDescent="0.25">
      <c r="A1186" s="3" t="s">
        <v>1091</v>
      </c>
      <c r="B1186" s="3">
        <v>0</v>
      </c>
      <c r="C1186" s="4"/>
    </row>
    <row r="1187" spans="1:3" x14ac:dyDescent="0.25">
      <c r="B1187" s="3">
        <v>0</v>
      </c>
      <c r="C1187" s="2"/>
    </row>
    <row r="1188" spans="1:3" x14ac:dyDescent="0.25">
      <c r="A1188" s="3" t="s">
        <v>1092</v>
      </c>
      <c r="B1188" s="3">
        <v>0</v>
      </c>
      <c r="C1188" s="4"/>
    </row>
    <row r="1189" spans="1:3" x14ac:dyDescent="0.25">
      <c r="A1189" s="3" t="s">
        <v>1093</v>
      </c>
      <c r="B1189" s="3">
        <v>0</v>
      </c>
      <c r="C1189" s="4"/>
    </row>
    <row r="1190" spans="1:3" x14ac:dyDescent="0.25">
      <c r="A1190" s="3" t="s">
        <v>1094</v>
      </c>
      <c r="B1190" s="3">
        <v>0</v>
      </c>
      <c r="C1190" s="4"/>
    </row>
    <row r="1191" spans="1:3" x14ac:dyDescent="0.25">
      <c r="B1191" s="3">
        <v>0</v>
      </c>
      <c r="C1191" s="2"/>
    </row>
    <row r="1192" spans="1:3" x14ac:dyDescent="0.25">
      <c r="A1192" s="3" t="s">
        <v>1095</v>
      </c>
      <c r="B1192" s="3">
        <v>0</v>
      </c>
      <c r="C1192" s="4"/>
    </row>
    <row r="1193" spans="1:3" x14ac:dyDescent="0.25">
      <c r="B1193" s="3">
        <v>0</v>
      </c>
      <c r="C1193" s="2"/>
    </row>
    <row r="1194" spans="1:3" x14ac:dyDescent="0.25">
      <c r="A1194" s="3" t="s">
        <v>1096</v>
      </c>
      <c r="B1194" s="3">
        <v>0</v>
      </c>
      <c r="C1194" s="4"/>
    </row>
    <row r="1195" spans="1:3" x14ac:dyDescent="0.25">
      <c r="A1195" s="3" t="s">
        <v>1097</v>
      </c>
      <c r="B1195" s="3">
        <v>0</v>
      </c>
      <c r="C1195" s="4"/>
    </row>
    <row r="1196" spans="1:3" x14ac:dyDescent="0.25">
      <c r="A1196" s="3" t="s">
        <v>1098</v>
      </c>
      <c r="B1196" s="3">
        <v>0</v>
      </c>
      <c r="C1196" s="4"/>
    </row>
    <row r="1197" spans="1:3" x14ac:dyDescent="0.25">
      <c r="B1197" s="3">
        <v>0</v>
      </c>
      <c r="C1197" s="2"/>
    </row>
    <row r="1198" spans="1:3" x14ac:dyDescent="0.25">
      <c r="A1198" s="3" t="s">
        <v>1099</v>
      </c>
      <c r="B1198" s="3">
        <v>0</v>
      </c>
      <c r="C1198" s="4"/>
    </row>
    <row r="1199" spans="1:3" x14ac:dyDescent="0.25">
      <c r="A1199" s="3" t="s">
        <v>1100</v>
      </c>
      <c r="B1199" s="3">
        <v>0</v>
      </c>
      <c r="C1199" s="4"/>
    </row>
    <row r="1200" spans="1:3" x14ac:dyDescent="0.25">
      <c r="A1200" s="3" t="s">
        <v>1101</v>
      </c>
      <c r="B1200" s="3">
        <v>0</v>
      </c>
      <c r="C1200" s="4"/>
    </row>
    <row r="1201" spans="1:3" x14ac:dyDescent="0.25">
      <c r="A1201" s="3" t="s">
        <v>1102</v>
      </c>
      <c r="B1201" s="3">
        <v>0</v>
      </c>
      <c r="C1201" s="4"/>
    </row>
    <row r="1202" spans="1:3" x14ac:dyDescent="0.25">
      <c r="A1202" s="3" t="s">
        <v>1103</v>
      </c>
      <c r="B1202" s="3">
        <v>0</v>
      </c>
      <c r="C1202" s="4"/>
    </row>
    <row r="1203" spans="1:3" x14ac:dyDescent="0.25">
      <c r="A1203" s="3" t="s">
        <v>1104</v>
      </c>
      <c r="B1203" s="3">
        <v>0</v>
      </c>
      <c r="C1203" s="4"/>
    </row>
    <row r="1204" spans="1:3" x14ac:dyDescent="0.25">
      <c r="B1204" s="3">
        <v>0</v>
      </c>
      <c r="C1204" s="2"/>
    </row>
    <row r="1205" spans="1:3" x14ac:dyDescent="0.25">
      <c r="A1205" s="3" t="s">
        <v>1105</v>
      </c>
      <c r="B1205" s="3">
        <v>0</v>
      </c>
      <c r="C1205" s="4"/>
    </row>
    <row r="1206" spans="1:3" x14ac:dyDescent="0.25">
      <c r="A1206" s="3" t="s">
        <v>1106</v>
      </c>
      <c r="B1206" s="3">
        <v>0</v>
      </c>
      <c r="C1206" s="4"/>
    </row>
    <row r="1207" spans="1:3" x14ac:dyDescent="0.25">
      <c r="A1207" s="3" t="s">
        <v>1107</v>
      </c>
      <c r="B1207" s="3">
        <v>0</v>
      </c>
      <c r="C1207" s="4"/>
    </row>
    <row r="1208" spans="1:3" x14ac:dyDescent="0.25">
      <c r="A1208" s="3" t="s">
        <v>1108</v>
      </c>
      <c r="B1208" s="3">
        <v>0</v>
      </c>
      <c r="C1208" s="4"/>
    </row>
    <row r="1209" spans="1:3" x14ac:dyDescent="0.25">
      <c r="B1209" s="3">
        <v>0</v>
      </c>
      <c r="C1209" s="2"/>
    </row>
    <row r="1210" spans="1:3" x14ac:dyDescent="0.25">
      <c r="A1210" s="3" t="s">
        <v>1109</v>
      </c>
      <c r="B1210" s="3">
        <v>0</v>
      </c>
      <c r="C1210" s="4"/>
    </row>
    <row r="1211" spans="1:3" x14ac:dyDescent="0.25">
      <c r="A1211" s="3" t="s">
        <v>1110</v>
      </c>
      <c r="B1211" s="3">
        <v>0</v>
      </c>
      <c r="C1211" s="4"/>
    </row>
    <row r="1212" spans="1:3" x14ac:dyDescent="0.25">
      <c r="A1212" s="3" t="s">
        <v>1111</v>
      </c>
      <c r="B1212" s="3">
        <v>0</v>
      </c>
      <c r="C1212" s="4"/>
    </row>
    <row r="1213" spans="1:3" x14ac:dyDescent="0.25">
      <c r="A1213" s="3" t="s">
        <v>1112</v>
      </c>
      <c r="B1213" s="3">
        <v>0</v>
      </c>
      <c r="C1213" s="4"/>
    </row>
    <row r="1214" spans="1:3" x14ac:dyDescent="0.25">
      <c r="A1214" s="3" t="s">
        <v>1113</v>
      </c>
      <c r="B1214" s="3">
        <v>0</v>
      </c>
      <c r="C1214" s="4"/>
    </row>
    <row r="1215" spans="1:3" x14ac:dyDescent="0.25">
      <c r="A1215" s="3" t="s">
        <v>1114</v>
      </c>
      <c r="B1215" s="3">
        <v>0</v>
      </c>
      <c r="C1215" s="4"/>
    </row>
    <row r="1216" spans="1:3" x14ac:dyDescent="0.25">
      <c r="A1216" s="3" t="s">
        <v>1115</v>
      </c>
      <c r="B1216" s="3">
        <v>0</v>
      </c>
      <c r="C1216" s="4"/>
    </row>
    <row r="1217" spans="1:3" x14ac:dyDescent="0.25">
      <c r="A1217" s="3" t="s">
        <v>1116</v>
      </c>
      <c r="B1217" s="3">
        <v>0</v>
      </c>
      <c r="C1217" s="4"/>
    </row>
    <row r="1218" spans="1:3" x14ac:dyDescent="0.25">
      <c r="A1218" s="3" t="s">
        <v>1117</v>
      </c>
      <c r="B1218" s="3">
        <v>0</v>
      </c>
      <c r="C1218" s="4"/>
    </row>
    <row r="1219" spans="1:3" x14ac:dyDescent="0.25">
      <c r="A1219" s="3" t="s">
        <v>1118</v>
      </c>
      <c r="B1219" s="3">
        <v>0</v>
      </c>
      <c r="C1219" s="4"/>
    </row>
    <row r="1220" spans="1:3" x14ac:dyDescent="0.25">
      <c r="A1220" s="3" t="s">
        <v>1119</v>
      </c>
      <c r="B1220" s="3">
        <v>0</v>
      </c>
      <c r="C1220" s="4"/>
    </row>
    <row r="1221" spans="1:3" x14ac:dyDescent="0.25">
      <c r="A1221" s="3" t="s">
        <v>1120</v>
      </c>
      <c r="B1221" s="3">
        <v>0</v>
      </c>
      <c r="C1221" s="4"/>
    </row>
    <row r="1222" spans="1:3" x14ac:dyDescent="0.25">
      <c r="A1222" s="3" t="s">
        <v>7</v>
      </c>
      <c r="B1222" s="3">
        <v>0</v>
      </c>
      <c r="C1222" s="4"/>
    </row>
    <row r="1223" spans="1:3" x14ac:dyDescent="0.25">
      <c r="A1223" s="3" t="s">
        <v>1121</v>
      </c>
      <c r="B1223" s="3">
        <v>0</v>
      </c>
      <c r="C1223" s="4"/>
    </row>
    <row r="1224" spans="1:3" x14ac:dyDescent="0.25">
      <c r="B1224" s="3">
        <v>0</v>
      </c>
      <c r="C1224" s="2"/>
    </row>
    <row r="1225" spans="1:3" x14ac:dyDescent="0.25">
      <c r="B1225" s="3">
        <v>0</v>
      </c>
      <c r="C1225" s="2"/>
    </row>
    <row r="1226" spans="1:3" x14ac:dyDescent="0.25">
      <c r="A1226" s="3" t="s">
        <v>1122</v>
      </c>
      <c r="B1226" s="3">
        <v>0</v>
      </c>
      <c r="C1226" s="4"/>
    </row>
    <row r="1227" spans="1:3" x14ac:dyDescent="0.25">
      <c r="A1227" s="3" t="s">
        <v>1123</v>
      </c>
      <c r="B1227" s="3">
        <v>0</v>
      </c>
      <c r="C1227" s="4"/>
    </row>
    <row r="1228" spans="1:3" x14ac:dyDescent="0.25">
      <c r="A1228" s="3" t="s">
        <v>1124</v>
      </c>
      <c r="B1228" s="3">
        <v>0</v>
      </c>
      <c r="C1228" s="4"/>
    </row>
    <row r="1229" spans="1:3" x14ac:dyDescent="0.25">
      <c r="A1229" s="3" t="s">
        <v>1125</v>
      </c>
      <c r="B1229" s="3">
        <v>0</v>
      </c>
      <c r="C1229" s="4"/>
    </row>
    <row r="1230" spans="1:3" x14ac:dyDescent="0.25">
      <c r="A1230" s="3" t="s">
        <v>1126</v>
      </c>
      <c r="B1230" s="3">
        <v>0</v>
      </c>
      <c r="C1230" s="4"/>
    </row>
    <row r="1231" spans="1:3" x14ac:dyDescent="0.25">
      <c r="A1231" s="3" t="s">
        <v>1127</v>
      </c>
      <c r="B1231" s="3">
        <v>0</v>
      </c>
      <c r="C1231" s="4"/>
    </row>
    <row r="1232" spans="1:3" x14ac:dyDescent="0.25">
      <c r="A1232" s="3" t="s">
        <v>1128</v>
      </c>
      <c r="B1232" s="3">
        <v>0</v>
      </c>
      <c r="C1232" s="4"/>
    </row>
    <row r="1233" spans="1:3" x14ac:dyDescent="0.25">
      <c r="A1233" s="3" t="s">
        <v>1129</v>
      </c>
      <c r="B1233" s="3">
        <v>0</v>
      </c>
      <c r="C1233" s="4"/>
    </row>
    <row r="1234" spans="1:3" x14ac:dyDescent="0.25">
      <c r="A1234" s="3" t="s">
        <v>1130</v>
      </c>
      <c r="B1234" s="3">
        <v>0</v>
      </c>
      <c r="C1234" s="4"/>
    </row>
    <row r="1235" spans="1:3" x14ac:dyDescent="0.25">
      <c r="A1235" s="3" t="s">
        <v>1131</v>
      </c>
      <c r="B1235" s="3">
        <v>0</v>
      </c>
      <c r="C1235" s="4"/>
    </row>
    <row r="1236" spans="1:3" x14ac:dyDescent="0.25">
      <c r="A1236" s="3" t="s">
        <v>1132</v>
      </c>
      <c r="B1236" s="3">
        <v>0</v>
      </c>
      <c r="C1236" s="4"/>
    </row>
    <row r="1237" spans="1:3" x14ac:dyDescent="0.25">
      <c r="B1237" s="3">
        <v>0</v>
      </c>
      <c r="C1237" s="2"/>
    </row>
    <row r="1238" spans="1:3" x14ac:dyDescent="0.25">
      <c r="A1238" s="3" t="s">
        <v>1133</v>
      </c>
      <c r="B1238" s="3">
        <v>0</v>
      </c>
      <c r="C1238" s="4"/>
    </row>
    <row r="1239" spans="1:3" x14ac:dyDescent="0.25">
      <c r="A1239" s="3" t="s">
        <v>1134</v>
      </c>
      <c r="B1239" s="3">
        <v>0</v>
      </c>
      <c r="C1239" s="4"/>
    </row>
    <row r="1240" spans="1:3" x14ac:dyDescent="0.25">
      <c r="A1240" s="3" t="s">
        <v>1135</v>
      </c>
      <c r="B1240" s="3">
        <v>0</v>
      </c>
      <c r="C1240" s="4"/>
    </row>
    <row r="1241" spans="1:3" x14ac:dyDescent="0.25">
      <c r="A1241" s="3" t="s">
        <v>1136</v>
      </c>
      <c r="B1241" s="3">
        <v>0</v>
      </c>
      <c r="C1241" s="4"/>
    </row>
    <row r="1242" spans="1:3" x14ac:dyDescent="0.25">
      <c r="A1242" s="3" t="s">
        <v>1137</v>
      </c>
      <c r="B1242" s="3">
        <v>0</v>
      </c>
      <c r="C1242" s="4"/>
    </row>
    <row r="1243" spans="1:3" x14ac:dyDescent="0.25">
      <c r="A1243" s="3" t="s">
        <v>1138</v>
      </c>
      <c r="B1243" s="3">
        <v>0</v>
      </c>
      <c r="C1243" s="4"/>
    </row>
    <row r="1244" spans="1:3" x14ac:dyDescent="0.25">
      <c r="A1244" s="3" t="s">
        <v>1139</v>
      </c>
      <c r="B1244" s="3">
        <v>0</v>
      </c>
      <c r="C1244" s="4"/>
    </row>
    <row r="1245" spans="1:3" x14ac:dyDescent="0.25">
      <c r="A1245" s="3" t="s">
        <v>1140</v>
      </c>
      <c r="B1245" s="3">
        <v>0</v>
      </c>
      <c r="C1245" s="4"/>
    </row>
    <row r="1246" spans="1:3" x14ac:dyDescent="0.25">
      <c r="A1246" s="3" t="s">
        <v>1141</v>
      </c>
      <c r="B1246" s="3">
        <v>0</v>
      </c>
      <c r="C1246" s="4"/>
    </row>
    <row r="1247" spans="1:3" x14ac:dyDescent="0.25">
      <c r="A1247" s="3" t="s">
        <v>1142</v>
      </c>
      <c r="B1247" s="3">
        <v>0</v>
      </c>
      <c r="C1247" s="4"/>
    </row>
    <row r="1248" spans="1:3" x14ac:dyDescent="0.25">
      <c r="A1248" s="3" t="s">
        <v>1143</v>
      </c>
      <c r="B1248" s="3">
        <v>0</v>
      </c>
      <c r="C1248" s="4"/>
    </row>
    <row r="1249" spans="1:3" x14ac:dyDescent="0.25">
      <c r="A1249" s="3" t="s">
        <v>1144</v>
      </c>
      <c r="B1249" s="3">
        <v>0</v>
      </c>
      <c r="C1249" s="4"/>
    </row>
    <row r="1250" spans="1:3" x14ac:dyDescent="0.25">
      <c r="A1250" s="3" t="s">
        <v>1145</v>
      </c>
      <c r="B1250" s="3">
        <v>0</v>
      </c>
      <c r="C1250" s="4"/>
    </row>
    <row r="1251" spans="1:3" x14ac:dyDescent="0.25">
      <c r="A1251" s="3" t="s">
        <v>1146</v>
      </c>
      <c r="B1251" s="3">
        <v>0</v>
      </c>
      <c r="C1251" s="4"/>
    </row>
    <row r="1252" spans="1:3" x14ac:dyDescent="0.25">
      <c r="A1252" s="3" t="s">
        <v>1147</v>
      </c>
      <c r="B1252" s="3">
        <v>0</v>
      </c>
      <c r="C1252" s="4"/>
    </row>
    <row r="1253" spans="1:3" x14ac:dyDescent="0.25">
      <c r="A1253" s="3" t="s">
        <v>1148</v>
      </c>
      <c r="B1253" s="3">
        <v>0</v>
      </c>
      <c r="C1253" s="4"/>
    </row>
    <row r="1254" spans="1:3" x14ac:dyDescent="0.25">
      <c r="A1254" s="3" t="s">
        <v>1149</v>
      </c>
      <c r="B1254" s="3">
        <v>0</v>
      </c>
      <c r="C1254" s="4"/>
    </row>
    <row r="1255" spans="1:3" x14ac:dyDescent="0.25">
      <c r="A1255" s="3" t="s">
        <v>1150</v>
      </c>
      <c r="B1255" s="3">
        <v>0</v>
      </c>
      <c r="C1255" s="4"/>
    </row>
    <row r="1256" spans="1:3" x14ac:dyDescent="0.25">
      <c r="A1256" s="3" t="s">
        <v>1151</v>
      </c>
      <c r="B1256" s="3">
        <v>0</v>
      </c>
      <c r="C1256" s="4"/>
    </row>
    <row r="1257" spans="1:3" x14ac:dyDescent="0.25">
      <c r="A1257" s="3" t="s">
        <v>1152</v>
      </c>
      <c r="B1257" s="3">
        <v>0</v>
      </c>
      <c r="C1257" s="4"/>
    </row>
    <row r="1258" spans="1:3" x14ac:dyDescent="0.25">
      <c r="A1258" s="3" t="s">
        <v>1153</v>
      </c>
      <c r="B1258" s="3">
        <v>0</v>
      </c>
      <c r="C1258" s="4"/>
    </row>
    <row r="1259" spans="1:3" x14ac:dyDescent="0.25">
      <c r="A1259" s="3" t="s">
        <v>1154</v>
      </c>
      <c r="B1259" s="3">
        <v>0</v>
      </c>
      <c r="C1259" s="4"/>
    </row>
    <row r="1260" spans="1:3" x14ac:dyDescent="0.25">
      <c r="A1260" s="3" t="s">
        <v>1155</v>
      </c>
      <c r="B1260" s="3">
        <v>0</v>
      </c>
      <c r="C1260" s="4"/>
    </row>
    <row r="1261" spans="1:3" x14ac:dyDescent="0.25">
      <c r="A1261" s="3" t="s">
        <v>1156</v>
      </c>
      <c r="B1261" s="3">
        <v>0</v>
      </c>
      <c r="C1261" s="4"/>
    </row>
    <row r="1262" spans="1:3" x14ac:dyDescent="0.25">
      <c r="A1262" s="3" t="s">
        <v>1157</v>
      </c>
      <c r="B1262" s="3">
        <v>0</v>
      </c>
      <c r="C1262" s="4"/>
    </row>
    <row r="1263" spans="1:3" x14ac:dyDescent="0.25">
      <c r="A1263" s="3" t="s">
        <v>1158</v>
      </c>
      <c r="B1263" s="3">
        <v>0</v>
      </c>
      <c r="C1263" s="4"/>
    </row>
    <row r="1264" spans="1:3" x14ac:dyDescent="0.25">
      <c r="A1264" s="3" t="s">
        <v>1159</v>
      </c>
      <c r="B1264" s="3">
        <v>0</v>
      </c>
      <c r="C1264" s="4"/>
    </row>
    <row r="1265" spans="1:3" x14ac:dyDescent="0.25">
      <c r="A1265" s="3" t="s">
        <v>1160</v>
      </c>
      <c r="B1265" s="3">
        <v>0</v>
      </c>
      <c r="C1265" s="4"/>
    </row>
    <row r="1266" spans="1:3" x14ac:dyDescent="0.25">
      <c r="A1266" s="3" t="s">
        <v>1161</v>
      </c>
      <c r="B1266" s="3">
        <v>0</v>
      </c>
      <c r="C1266" s="4"/>
    </row>
    <row r="1267" spans="1:3" x14ac:dyDescent="0.25">
      <c r="A1267" s="3" t="s">
        <v>878</v>
      </c>
      <c r="B1267" s="3">
        <v>0</v>
      </c>
      <c r="C1267" s="4">
        <v>40</v>
      </c>
    </row>
    <row r="1268" spans="1:3" x14ac:dyDescent="0.25">
      <c r="A1268" s="3" t="s">
        <v>878</v>
      </c>
      <c r="B1268" s="3">
        <v>0</v>
      </c>
      <c r="C1268" s="4">
        <v>42</v>
      </c>
    </row>
    <row r="1269" spans="1:3" x14ac:dyDescent="0.25">
      <c r="A1269" s="3" t="s">
        <v>878</v>
      </c>
      <c r="B1269" s="3">
        <v>0</v>
      </c>
      <c r="C1269" s="4">
        <v>36</v>
      </c>
    </row>
    <row r="1270" spans="1:3" x14ac:dyDescent="0.25">
      <c r="A1270" s="3" t="s">
        <v>878</v>
      </c>
      <c r="B1270" s="3">
        <v>0</v>
      </c>
      <c r="C1270" s="4">
        <v>44</v>
      </c>
    </row>
    <row r="1271" spans="1:3" x14ac:dyDescent="0.25">
      <c r="A1271" s="3" t="s">
        <v>878</v>
      </c>
      <c r="B1271" s="3">
        <v>0</v>
      </c>
      <c r="C1271" s="4">
        <v>46</v>
      </c>
    </row>
    <row r="1272" spans="1:3" x14ac:dyDescent="0.25">
      <c r="A1272" s="3" t="s">
        <v>878</v>
      </c>
      <c r="B1272" s="3">
        <v>0</v>
      </c>
      <c r="C1272" s="4">
        <v>38</v>
      </c>
    </row>
    <row r="1273" spans="1:3" x14ac:dyDescent="0.25">
      <c r="A1273" s="3" t="s">
        <v>1162</v>
      </c>
      <c r="B1273" s="3">
        <v>0</v>
      </c>
      <c r="C1273" s="4"/>
    </row>
    <row r="1274" spans="1:3" x14ac:dyDescent="0.25">
      <c r="A1274" s="3" t="s">
        <v>1163</v>
      </c>
      <c r="B1274" s="3">
        <v>0</v>
      </c>
      <c r="C1274" s="4"/>
    </row>
    <row r="1275" spans="1:3" x14ac:dyDescent="0.25">
      <c r="A1275" s="3" t="s">
        <v>1164</v>
      </c>
      <c r="B1275" s="3">
        <v>0</v>
      </c>
      <c r="C1275" s="4"/>
    </row>
    <row r="1276" spans="1:3" x14ac:dyDescent="0.25">
      <c r="B1276" s="3">
        <v>0</v>
      </c>
      <c r="C1276" s="2"/>
    </row>
    <row r="1277" spans="1:3" x14ac:dyDescent="0.25">
      <c r="A1277" s="3" t="s">
        <v>1165</v>
      </c>
      <c r="B1277" s="3">
        <v>0</v>
      </c>
      <c r="C1277" s="4"/>
    </row>
    <row r="1278" spans="1:3" x14ac:dyDescent="0.25">
      <c r="A1278" s="3" t="s">
        <v>1166</v>
      </c>
      <c r="B1278" s="3">
        <v>0</v>
      </c>
      <c r="C1278" s="4"/>
    </row>
    <row r="1279" spans="1:3" x14ac:dyDescent="0.25">
      <c r="B1279" s="3">
        <v>0</v>
      </c>
      <c r="C1279" s="2"/>
    </row>
    <row r="1280" spans="1:3" x14ac:dyDescent="0.25">
      <c r="A1280" s="3" t="s">
        <v>1167</v>
      </c>
      <c r="B1280" s="3">
        <v>0</v>
      </c>
      <c r="C1280" s="4"/>
    </row>
    <row r="1281" spans="1:3" x14ac:dyDescent="0.25">
      <c r="A1281" s="3" t="s">
        <v>1168</v>
      </c>
      <c r="B1281" s="3">
        <v>0</v>
      </c>
      <c r="C1281" s="4"/>
    </row>
    <row r="1282" spans="1:3" x14ac:dyDescent="0.25">
      <c r="A1282" s="3" t="s">
        <v>1169</v>
      </c>
      <c r="B1282" s="3">
        <v>0</v>
      </c>
      <c r="C1282" s="4"/>
    </row>
    <row r="1283" spans="1:3" x14ac:dyDescent="0.25">
      <c r="A1283" s="3" t="s">
        <v>1170</v>
      </c>
      <c r="B1283" s="3">
        <v>0</v>
      </c>
      <c r="C1283" s="4"/>
    </row>
    <row r="1284" spans="1:3" x14ac:dyDescent="0.25">
      <c r="A1284" s="3" t="s">
        <v>1171</v>
      </c>
      <c r="B1284" s="3">
        <v>0</v>
      </c>
      <c r="C1284" s="4"/>
    </row>
    <row r="1285" spans="1:3" x14ac:dyDescent="0.25">
      <c r="A1285" s="3" t="s">
        <v>1172</v>
      </c>
      <c r="B1285" s="3">
        <v>0</v>
      </c>
      <c r="C1285" s="4"/>
    </row>
    <row r="1286" spans="1:3" x14ac:dyDescent="0.25">
      <c r="A1286" s="3" t="s">
        <v>1173</v>
      </c>
      <c r="B1286" s="3">
        <v>0</v>
      </c>
      <c r="C1286" s="4"/>
    </row>
    <row r="1287" spans="1:3" x14ac:dyDescent="0.25">
      <c r="A1287" s="3" t="s">
        <v>1174</v>
      </c>
      <c r="B1287" s="3">
        <v>0</v>
      </c>
      <c r="C1287" s="4"/>
    </row>
    <row r="1288" spans="1:3" x14ac:dyDescent="0.25">
      <c r="A1288" s="3" t="s">
        <v>1175</v>
      </c>
      <c r="B1288" s="3">
        <v>0</v>
      </c>
      <c r="C1288" s="4"/>
    </row>
    <row r="1289" spans="1:3" x14ac:dyDescent="0.25">
      <c r="A1289" s="3" t="s">
        <v>1176</v>
      </c>
      <c r="B1289" s="3">
        <v>0</v>
      </c>
      <c r="C1289" s="4"/>
    </row>
    <row r="1290" spans="1:3" x14ac:dyDescent="0.25">
      <c r="A1290" s="3" t="s">
        <v>1177</v>
      </c>
      <c r="B1290" s="3">
        <v>0</v>
      </c>
      <c r="C1290" s="4"/>
    </row>
    <row r="1291" spans="1:3" x14ac:dyDescent="0.25">
      <c r="A1291" s="3" t="s">
        <v>1178</v>
      </c>
      <c r="B1291" s="3">
        <v>0</v>
      </c>
      <c r="C1291" s="4"/>
    </row>
    <row r="1292" spans="1:3" x14ac:dyDescent="0.25">
      <c r="B1292" s="3">
        <v>0</v>
      </c>
      <c r="C1292" s="2"/>
    </row>
    <row r="1293" spans="1:3" x14ac:dyDescent="0.25">
      <c r="A1293" s="3" t="s">
        <v>1179</v>
      </c>
      <c r="B1293" s="3">
        <v>0</v>
      </c>
      <c r="C1293" s="4"/>
    </row>
    <row r="1294" spans="1:3" x14ac:dyDescent="0.25">
      <c r="A1294" s="3" t="s">
        <v>1180</v>
      </c>
      <c r="B1294" s="3">
        <v>0</v>
      </c>
      <c r="C1294" s="4"/>
    </row>
    <row r="1295" spans="1:3" x14ac:dyDescent="0.25">
      <c r="A1295" s="3" t="s">
        <v>1181</v>
      </c>
      <c r="B1295" s="3">
        <v>0</v>
      </c>
      <c r="C1295" s="4"/>
    </row>
    <row r="1296" spans="1:3" x14ac:dyDescent="0.25">
      <c r="A1296" s="3" t="s">
        <v>1182</v>
      </c>
      <c r="B1296" s="3">
        <v>0</v>
      </c>
      <c r="C1296" s="4"/>
    </row>
    <row r="1297" spans="1:3" x14ac:dyDescent="0.25">
      <c r="A1297" s="3" t="s">
        <v>1183</v>
      </c>
      <c r="B1297" s="3">
        <v>0</v>
      </c>
      <c r="C1297" s="4"/>
    </row>
    <row r="1298" spans="1:3" x14ac:dyDescent="0.25">
      <c r="A1298" s="3" t="s">
        <v>1184</v>
      </c>
      <c r="B1298" s="3">
        <v>0</v>
      </c>
      <c r="C1298" s="4"/>
    </row>
    <row r="1299" spans="1:3" x14ac:dyDescent="0.25">
      <c r="A1299" s="3" t="s">
        <v>1185</v>
      </c>
      <c r="B1299" s="3">
        <v>0</v>
      </c>
      <c r="C1299" s="4"/>
    </row>
    <row r="1300" spans="1:3" x14ac:dyDescent="0.25">
      <c r="A1300" s="3" t="s">
        <v>1186</v>
      </c>
      <c r="B1300" s="3">
        <v>0</v>
      </c>
      <c r="C1300" s="4"/>
    </row>
    <row r="1301" spans="1:3" x14ac:dyDescent="0.25">
      <c r="A1301" s="3" t="s">
        <v>1187</v>
      </c>
      <c r="B1301" s="3">
        <v>0</v>
      </c>
      <c r="C1301" s="4"/>
    </row>
    <row r="1302" spans="1:3" x14ac:dyDescent="0.25">
      <c r="A1302" s="3" t="s">
        <v>1188</v>
      </c>
      <c r="B1302" s="3">
        <v>0</v>
      </c>
      <c r="C1302" s="4"/>
    </row>
    <row r="1303" spans="1:3" x14ac:dyDescent="0.25">
      <c r="A1303" s="3" t="s">
        <v>1189</v>
      </c>
      <c r="B1303" s="3">
        <v>0</v>
      </c>
      <c r="C1303" s="4"/>
    </row>
    <row r="1304" spans="1:3" x14ac:dyDescent="0.25">
      <c r="B1304" s="3">
        <v>0</v>
      </c>
      <c r="C1304" s="2"/>
    </row>
    <row r="1305" spans="1:3" x14ac:dyDescent="0.25">
      <c r="A1305" s="3" t="s">
        <v>1190</v>
      </c>
      <c r="B1305" s="3">
        <v>0</v>
      </c>
      <c r="C1305" s="4"/>
    </row>
    <row r="1306" spans="1:3" x14ac:dyDescent="0.25">
      <c r="A1306" s="3" t="s">
        <v>1191</v>
      </c>
      <c r="B1306" s="3">
        <v>0</v>
      </c>
      <c r="C1306" s="4"/>
    </row>
    <row r="1307" spans="1:3" x14ac:dyDescent="0.25">
      <c r="A1307" s="3" t="s">
        <v>1192</v>
      </c>
      <c r="B1307" s="3">
        <v>0</v>
      </c>
      <c r="C1307" s="4"/>
    </row>
    <row r="1308" spans="1:3" x14ac:dyDescent="0.25">
      <c r="A1308" s="3" t="s">
        <v>1193</v>
      </c>
      <c r="B1308" s="3">
        <v>0</v>
      </c>
      <c r="C1308" s="4"/>
    </row>
    <row r="1309" spans="1:3" x14ac:dyDescent="0.25">
      <c r="A1309" s="3" t="s">
        <v>1194</v>
      </c>
      <c r="B1309" s="3">
        <v>0</v>
      </c>
      <c r="C1309" s="4"/>
    </row>
    <row r="1310" spans="1:3" x14ac:dyDescent="0.25">
      <c r="A1310" s="3" t="s">
        <v>1195</v>
      </c>
      <c r="B1310" s="3">
        <v>0</v>
      </c>
      <c r="C1310" s="4"/>
    </row>
    <row r="1311" spans="1:3" x14ac:dyDescent="0.25">
      <c r="A1311" s="3" t="s">
        <v>1196</v>
      </c>
      <c r="B1311" s="3">
        <v>0</v>
      </c>
      <c r="C1311" s="4"/>
    </row>
    <row r="1312" spans="1:3" x14ac:dyDescent="0.25">
      <c r="A1312" s="3" t="s">
        <v>1197</v>
      </c>
      <c r="B1312" s="3">
        <v>0</v>
      </c>
      <c r="C1312" s="4"/>
    </row>
    <row r="1313" spans="1:3" x14ac:dyDescent="0.25">
      <c r="A1313" s="3" t="s">
        <v>1198</v>
      </c>
      <c r="B1313" s="3">
        <v>0</v>
      </c>
      <c r="C1313" s="4"/>
    </row>
    <row r="1314" spans="1:3" x14ac:dyDescent="0.25">
      <c r="A1314" s="3" t="s">
        <v>1199</v>
      </c>
      <c r="B1314" s="3">
        <v>0</v>
      </c>
      <c r="C1314" s="4"/>
    </row>
    <row r="1315" spans="1:3" x14ac:dyDescent="0.25">
      <c r="A1315" s="3" t="s">
        <v>1200</v>
      </c>
      <c r="B1315" s="3">
        <v>0</v>
      </c>
      <c r="C1315" s="4"/>
    </row>
    <row r="1316" spans="1:3" x14ac:dyDescent="0.25">
      <c r="A1316" s="3" t="s">
        <v>1201</v>
      </c>
      <c r="B1316" s="3">
        <v>0</v>
      </c>
      <c r="C1316" s="4"/>
    </row>
    <row r="1317" spans="1:3" x14ac:dyDescent="0.25">
      <c r="A1317" s="3" t="s">
        <v>1202</v>
      </c>
      <c r="B1317" s="3">
        <v>0</v>
      </c>
      <c r="C1317" s="4"/>
    </row>
    <row r="1318" spans="1:3" x14ac:dyDescent="0.25">
      <c r="A1318" s="3" t="s">
        <v>1203</v>
      </c>
      <c r="B1318" s="3">
        <v>0</v>
      </c>
      <c r="C1318" s="4"/>
    </row>
    <row r="1319" spans="1:3" x14ac:dyDescent="0.25">
      <c r="A1319" s="3" t="s">
        <v>1204</v>
      </c>
      <c r="B1319" s="3">
        <v>0</v>
      </c>
      <c r="C1319" s="4"/>
    </row>
    <row r="1320" spans="1:3" x14ac:dyDescent="0.25">
      <c r="A1320" s="3" t="s">
        <v>1205</v>
      </c>
      <c r="B1320" s="3">
        <v>0</v>
      </c>
      <c r="C1320" s="2"/>
    </row>
    <row r="1321" spans="1:3" x14ac:dyDescent="0.25">
      <c r="A1321" s="3" t="s">
        <v>1206</v>
      </c>
      <c r="B1321" s="3">
        <v>0</v>
      </c>
      <c r="C1321" s="4"/>
    </row>
    <row r="1322" spans="1:3" x14ac:dyDescent="0.25">
      <c r="A1322" s="3" t="s">
        <v>1207</v>
      </c>
      <c r="B1322" s="3">
        <v>0</v>
      </c>
      <c r="C1322" s="4"/>
    </row>
    <row r="1323" spans="1:3" x14ac:dyDescent="0.25">
      <c r="A1323" s="3" t="s">
        <v>1208</v>
      </c>
      <c r="B1323" s="3">
        <v>0</v>
      </c>
      <c r="C1323" s="4"/>
    </row>
    <row r="1324" spans="1:3" x14ac:dyDescent="0.25">
      <c r="A1324" s="3" t="s">
        <v>1209</v>
      </c>
      <c r="B1324" s="3">
        <v>0</v>
      </c>
      <c r="C1324" s="4"/>
    </row>
    <row r="1325" spans="1:3" x14ac:dyDescent="0.25">
      <c r="A1325" s="3" t="s">
        <v>1210</v>
      </c>
      <c r="B1325" s="3">
        <v>0</v>
      </c>
      <c r="C1325" s="4"/>
    </row>
    <row r="1326" spans="1:3" x14ac:dyDescent="0.25">
      <c r="A1326" s="3" t="s">
        <v>1211</v>
      </c>
      <c r="B1326" s="3">
        <v>0</v>
      </c>
      <c r="C1326" s="4"/>
    </row>
    <row r="1327" spans="1:3" x14ac:dyDescent="0.25">
      <c r="A1327" s="3" t="s">
        <v>1212</v>
      </c>
      <c r="B1327" s="3">
        <v>0</v>
      </c>
      <c r="C1327" s="4"/>
    </row>
    <row r="1328" spans="1:3" x14ac:dyDescent="0.25">
      <c r="A1328" s="3" t="s">
        <v>1213</v>
      </c>
      <c r="B1328" s="3">
        <v>0</v>
      </c>
      <c r="C1328" s="4"/>
    </row>
    <row r="1329" spans="1:3" x14ac:dyDescent="0.25">
      <c r="A1329" s="3" t="s">
        <v>1214</v>
      </c>
      <c r="B1329" s="3">
        <v>0</v>
      </c>
      <c r="C1329" s="4"/>
    </row>
    <row r="1330" spans="1:3" x14ac:dyDescent="0.25">
      <c r="A1330" s="3" t="s">
        <v>1215</v>
      </c>
      <c r="B1330" s="3">
        <v>0</v>
      </c>
      <c r="C1330" s="4"/>
    </row>
    <row r="1331" spans="1:3" x14ac:dyDescent="0.25">
      <c r="A1331" s="3" t="s">
        <v>1216</v>
      </c>
      <c r="B1331" s="3">
        <v>0</v>
      </c>
      <c r="C1331" s="4"/>
    </row>
    <row r="1332" spans="1:3" x14ac:dyDescent="0.25">
      <c r="A1332" s="3" t="s">
        <v>1217</v>
      </c>
      <c r="B1332" s="3">
        <v>0</v>
      </c>
      <c r="C1332" s="4"/>
    </row>
    <row r="1333" spans="1:3" x14ac:dyDescent="0.25">
      <c r="A1333" s="3" t="s">
        <v>1218</v>
      </c>
      <c r="B1333" s="3">
        <v>0</v>
      </c>
      <c r="C1333" s="4"/>
    </row>
    <row r="1334" spans="1:3" x14ac:dyDescent="0.25">
      <c r="A1334" s="3" t="s">
        <v>1219</v>
      </c>
      <c r="B1334" s="3">
        <v>0</v>
      </c>
      <c r="C1334" s="4"/>
    </row>
    <row r="1335" spans="1:3" x14ac:dyDescent="0.25">
      <c r="A1335" s="3" t="s">
        <v>1220</v>
      </c>
      <c r="B1335" s="3">
        <v>0</v>
      </c>
      <c r="C1335" s="4"/>
    </row>
    <row r="1336" spans="1:3" x14ac:dyDescent="0.25">
      <c r="A1336" s="3" t="s">
        <v>1221</v>
      </c>
      <c r="B1336" s="3">
        <v>0</v>
      </c>
      <c r="C1336" s="4"/>
    </row>
    <row r="1337" spans="1:3" x14ac:dyDescent="0.25">
      <c r="A1337" s="3" t="s">
        <v>1222</v>
      </c>
      <c r="B1337" s="3">
        <v>0</v>
      </c>
      <c r="C1337" s="4"/>
    </row>
    <row r="1338" spans="1:3" x14ac:dyDescent="0.25">
      <c r="A1338" s="3" t="s">
        <v>1223</v>
      </c>
      <c r="B1338" s="3">
        <v>0</v>
      </c>
      <c r="C1338" s="4"/>
    </row>
    <row r="1339" spans="1:3" x14ac:dyDescent="0.25">
      <c r="A1339" s="3" t="s">
        <v>1224</v>
      </c>
      <c r="B1339" s="3">
        <v>0</v>
      </c>
      <c r="C1339" s="4"/>
    </row>
    <row r="1340" spans="1:3" x14ac:dyDescent="0.25">
      <c r="A1340" s="3" t="s">
        <v>1225</v>
      </c>
      <c r="B1340" s="3">
        <v>0</v>
      </c>
      <c r="C1340" s="4"/>
    </row>
    <row r="1341" spans="1:3" x14ac:dyDescent="0.25">
      <c r="B1341" s="3">
        <v>0</v>
      </c>
      <c r="C1341" s="2"/>
    </row>
    <row r="1342" spans="1:3" x14ac:dyDescent="0.25">
      <c r="B1342" s="3">
        <v>0</v>
      </c>
      <c r="C1342" s="2"/>
    </row>
    <row r="1343" spans="1:3" x14ac:dyDescent="0.25">
      <c r="A1343" s="3" t="s">
        <v>64</v>
      </c>
      <c r="B1343" s="3">
        <v>0</v>
      </c>
      <c r="C1343" s="4"/>
    </row>
    <row r="1344" spans="1:3" x14ac:dyDescent="0.25">
      <c r="A1344" s="3" t="s">
        <v>1226</v>
      </c>
      <c r="B1344" s="3">
        <v>0</v>
      </c>
      <c r="C1344" s="4"/>
    </row>
    <row r="1345" spans="1:3" x14ac:dyDescent="0.25">
      <c r="A1345" s="3" t="s">
        <v>1227</v>
      </c>
      <c r="B1345" s="3">
        <v>0</v>
      </c>
      <c r="C1345" s="4"/>
    </row>
    <row r="1346" spans="1:3" x14ac:dyDescent="0.25">
      <c r="A1346" s="3" t="s">
        <v>1228</v>
      </c>
      <c r="B1346" s="3">
        <v>0</v>
      </c>
      <c r="C1346" s="4" t="s">
        <v>164</v>
      </c>
    </row>
    <row r="1347" spans="1:3" x14ac:dyDescent="0.25">
      <c r="A1347" s="3" t="s">
        <v>1228</v>
      </c>
      <c r="B1347" s="3">
        <v>0</v>
      </c>
      <c r="C1347" s="4" t="s">
        <v>126</v>
      </c>
    </row>
    <row r="1348" spans="1:3" x14ac:dyDescent="0.25">
      <c r="A1348" s="3" t="s">
        <v>1228</v>
      </c>
      <c r="B1348" s="3">
        <v>0</v>
      </c>
      <c r="C1348" s="4" t="s">
        <v>1229</v>
      </c>
    </row>
    <row r="1349" spans="1:3" x14ac:dyDescent="0.25">
      <c r="A1349" s="3" t="s">
        <v>1228</v>
      </c>
      <c r="B1349" s="3">
        <v>0</v>
      </c>
      <c r="C1349" s="4" t="s">
        <v>169</v>
      </c>
    </row>
    <row r="1350" spans="1:3" x14ac:dyDescent="0.25">
      <c r="A1350" s="3" t="s">
        <v>1228</v>
      </c>
      <c r="B1350" s="3">
        <v>0</v>
      </c>
      <c r="C1350" s="4"/>
    </row>
    <row r="1351" spans="1:3" x14ac:dyDescent="0.25">
      <c r="A1351" s="3" t="s">
        <v>1228</v>
      </c>
      <c r="B1351" s="3">
        <v>0</v>
      </c>
      <c r="C1351" s="4" t="s">
        <v>167</v>
      </c>
    </row>
    <row r="1352" spans="1:3" x14ac:dyDescent="0.25">
      <c r="A1352" s="3" t="s">
        <v>1228</v>
      </c>
      <c r="B1352" s="3">
        <v>0</v>
      </c>
      <c r="C1352" s="4" t="s">
        <v>166</v>
      </c>
    </row>
    <row r="1353" spans="1:3" x14ac:dyDescent="0.25">
      <c r="A1353" s="3" t="s">
        <v>1228</v>
      </c>
      <c r="B1353" s="3">
        <v>0</v>
      </c>
      <c r="C1353" s="4" t="s">
        <v>168</v>
      </c>
    </row>
    <row r="1354" spans="1:3" x14ac:dyDescent="0.25">
      <c r="A1354" s="3" t="s">
        <v>1230</v>
      </c>
      <c r="B1354" s="3">
        <v>0</v>
      </c>
      <c r="C1354" s="4"/>
    </row>
    <row r="1355" spans="1:3" x14ac:dyDescent="0.25">
      <c r="A1355" s="3" t="s">
        <v>1231</v>
      </c>
      <c r="B1355" s="3">
        <v>0</v>
      </c>
      <c r="C1355" s="4"/>
    </row>
    <row r="1356" spans="1:3" x14ac:dyDescent="0.25">
      <c r="A1356" s="3" t="s">
        <v>1232</v>
      </c>
      <c r="B1356" s="3">
        <v>0</v>
      </c>
      <c r="C1356" s="4"/>
    </row>
    <row r="1357" spans="1:3" x14ac:dyDescent="0.25">
      <c r="A1357" s="3" t="s">
        <v>1233</v>
      </c>
      <c r="B1357" s="3">
        <v>0</v>
      </c>
      <c r="C1357" s="4"/>
    </row>
    <row r="1358" spans="1:3" x14ac:dyDescent="0.25">
      <c r="A1358" s="3" t="s">
        <v>1234</v>
      </c>
      <c r="B1358" s="3">
        <v>0</v>
      </c>
      <c r="C1358" s="4"/>
    </row>
  </sheetData>
  <autoFilter ref="A1:C1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2022-03-05T07:08:26Z</dcterms:created>
  <dcterms:modified xsi:type="dcterms:W3CDTF">2022-03-14T07:09:13Z</dcterms:modified>
</cp:coreProperties>
</file>